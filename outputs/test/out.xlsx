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72e9e6359aa40bc" /></Relationships>
</file>

<file path=xl/workbook.xml><?xml version="1.0" encoding="utf-8"?>
<x:workbook xmlns:x="http://schemas.openxmlformats.org/spreadsheetml/2006/main">
  <x:sheets>
    <x:sheet xmlns:r="http://schemas.openxmlformats.org/officeDocument/2006/relationships" name="Tableau de scores" sheetId="1" r:id="R102bc603a8d64eb5"/>
    <x:sheet xmlns:r="http://schemas.openxmlformats.org/officeDocument/2006/relationships" name="Standards" sheetId="2" r:id="R92323633d1c24596"/>
    <x:sheet xmlns:r="http://schemas.openxmlformats.org/officeDocument/2006/relationships" name="Synthèse client" sheetId="3" r:id="Re815057a11594fd9"/>
    <x:sheet xmlns:r="http://schemas.openxmlformats.org/officeDocument/2006/relationships" name="Repère visuel client" sheetId="4" r:id="R513c0cdca37e4208"/>
    <x:sheet xmlns:r="http://schemas.openxmlformats.org/officeDocument/2006/relationships" name="Annexe méthodologique" sheetId="5" r:id="Rb06a40886d014fa8"/>
  </x:sheets>
</x:workbook>
</file>

<file path=xl/comments1.xml><?xml version="1.0" encoding="utf-8"?>
<x:comments xmlns:x="http://schemas.openxmlformats.org/spreadsheetml/2006/main">
  <x:authors>
    <x:author>Joshua Duquette</x:author>
  </x:authors>
  <x:commentList>
    <x:comment ref="C59" authorId="0">
      <x:text>
        <x:r>
          <x:t>Joshua Duquette:
Révision clinique (2026-04-08) : au Conners CPT-3, les élévations de T-scores sont généralement les plus préoccupantes. Les scores faibles à HRT Block Change / HRT ISI Change peuvent plutôt refléter un bon maintien ou une amélioration de la vitesse, et ne doivent pas être lus comme une fragilité en soi.</x:t>
        </x:r>
      </x:text>
    </x:comment>
    <x:comment ref="C60" authorId="0">
      <x:text>
        <x:r>
          <x:t>Joshua Duquette:
CPT-3 (rapport du 2026-03-19) : C = 38, style de réponse libéral privilégiant la vitesse à l’exactitude. Ce style peut contribuer à un HRT plus rapide sans indiquer d’impulsivité lorsque les commissions et les persévérations ne sont pas élevées.</x:t>
        </x:r>
      </x:text>
    </x:comment>
    <x:comment ref="C68" authorId="0">
      <x:text>
        <x:r>
          <x:t>Joshua Duquette:
CPT-3 : HRT Block Change T = 43 (Low) signifie que la vitesse de réponse s’est maintenue ou accélérée dans les blocs tardifs. Les omissions et commissions n’augmentent pas significativement; pas d’argument pour un trouble d’attention soutenue.</x:t>
        </x:r>
      </x:text>
    </x:comment>
    <x:comment ref="C69" authorId="0">
      <x:text>
        <x:r>
          <x:t>Joshua Duquette:
CPT-3 : HRT ISI Change T = 52 (Average) indique un changement moyen de la vitesse aux ISI plus longs. Malgré une hausse mineure des commissions de 2 s à 4 s, le profil global ne suggère pas un trouble de vigilance.</x:t>
        </x:r>
      </x:text>
    </x:comment>
  </x:commentList>
</x:comments>
</file>

<file path=xl/comments2.xml><?xml version="1.0" encoding="utf-8"?>
<x:comments xmlns:x="http://schemas.openxmlformats.org/spreadsheetml/2006/main">
  <x:authors>
    <x:author>Joshua Duquette</x:author>
  </x:authors>
  <x:commentList>
    <x:comment ref="J7" authorId="0">
      <x:text>
        <x:r>
          <x:t>Seuls les indices et mesures uniques sont affichés ici. Les domaines appuyés sur plusieurs scores standardisés ne reçoivent ni moyenne ni score composite; leurs mesures doivent être interprétées séparément.</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<x:sst xmlns:x="http://schemas.openxmlformats.org/spreadsheetml/2006/main">
  <x:si>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Tableau récapitulatif des résultats</x:t>
  </x:si>
  <x:si>
    <x:t xml:space="preserve">Dossier : </x:t>
  </x:si>
  <x:si>
    <x:t xml:space="preserve">Mme Gingras</x:t>
  </x:si>
  <x:si>
    <x:t xml:space="preserve">Mode d’emploi — tout se contrôle ici : score, méthode, moyenne et ET</x:t>
  </x:si>
  <x:si>
    <x:t xml:space="preserve">Date : </x:t>
  </x:si>
  <x:si>
    <x:t xml:space="preserve">Zone de saisie</x:t>
  </x:si>
  <x:si>
    <x:t xml:space="preserve">Zone calculée automatiquement</x:t>
  </x:si>
  <x:si>
    <x:t xml:space="preserve">Observations cliniques</x:t>
  </x:si>
  <x:si>
    <x:t xml:space="preserve">Fonction cognitive / Questionnaire</x:t>
  </x:si>
  <x:si>
    <x:t xml:space="preserve">Test</x:t>
  </x:si>
  <x:si>
    <x:t xml:space="preserve">Fonction secondaire (si multidomaine)</x:t>
  </x:si>
  <x:si>
    <x:t xml:space="preserve">Score saisi</x:t>
  </x:si>
  <x:si>
    <x:t xml:space="preserve">Méthode</x:t>
  </x:si>
  <x:si>
    <x:t xml:space="preserve">Moyenne (si BRUT)</x:t>
  </x:si>
  <x:si>
    <x:t xml:space="preserve">ET (si BRUT)</x:t>
  </x:si>
  <x:si>
    <x:t xml:space="preserve">Score Z calculé</x:t>
  </x:si>
  <x:si>
    <x:t xml:space="preserve">Interprétation / message (auto)</x:t>
  </x:si>
  <x:si>
    <x:t xml:space="preserve">Rang centile</x:t>
  </x:si>
  <x:si>
    <x:t xml:space="preserve">Commentaire clinique</x:t>
  </x:si>
  <x:si>
    <x:t xml:space="preserve">Validité de l'effort</x:t>
  </x:si>
  <x:si>
    <x:t xml:space="preserve">TOMM (rappels 1 et 2 seulement)</x:t>
  </x:si>
  <x:si>
    <x:t xml:space="preserve">— Rappel 1 (TOMM)</x:t>
  </x:si>
  <x:si>
    <x:t xml:space="preserve">Descriptif</x:t>
  </x:si>
  <x:si>
    <x:t xml:space="preserve">— Rappel 2 (TOMM)</x:t>
  </x:si>
  <x:si>
    <x:t xml:space="preserve">Fonctionnement intellectuel général</x:t>
  </x:si>
  <x:si>
    <x:t xml:space="preserve">— QI total (WAIS-IV)</x:t>
  </x:si>
  <x:si>
    <x:t xml:space="preserve">QI/Indice</x:t>
  </x:si>
  <x:si>
    <x:t xml:space="preserve">Compréhension verbale</x:t>
  </x:si>
  <x:si>
    <x:t xml:space="preserve">— Indice de compréhension verbale (ICV)</x:t>
  </x:si>
  <x:si>
    <x:t xml:space="preserve">— Similitudes (WAIS-IV)</x:t>
  </x:si>
  <x:si>
    <x:t xml:space="preserve">abstraction verbale</x:t>
  </x:si>
  <x:si>
    <x:t xml:space="preserve">Score standard</x:t>
  </x:si>
  <x:si>
    <x:t xml:space="preserve">— Vocabulaire (WAIS-IV)</x:t>
  </x:si>
  <x:si>
    <x:t xml:space="preserve">connaissances lexicales</x:t>
  </x:si>
  <x:si>
    <x:t xml:space="preserve">— Connaissances (WAIS-IV)</x:t>
  </x:si>
  <x:si>
    <x:t xml:space="preserve">connaissances générales</x:t>
  </x:si>
  <x:si>
    <x:t xml:space="preserve">Raisonnement perceptif / visuospatial</x:t>
  </x:si>
  <x:si>
    <x:t xml:space="preserve">— Indice de raisonnement perceptif (IRP)</x:t>
  </x:si>
  <x:si>
    <x:t xml:space="preserve">— Blocs (WAIS-IV)</x:t>
  </x:si>
  <x:si>
    <x:t xml:space="preserve">analyse visuospatiale / visuoconstruction</x:t>
  </x:si>
  <x:si>
    <x:t xml:space="preserve">— Matrices (WAIS-IV)</x:t>
  </x:si>
  <x:si>
    <x:t xml:space="preserve">raisonnement fluide</x:t>
  </x:si>
  <x:si>
    <x:t xml:space="preserve">— Casse-têtes visuels (WAIS-IV)</x:t>
  </x:si>
  <x:si>
    <x:t xml:space="preserve">analyse visuospatiale / rotation mentale</x:t>
  </x:si>
  <x:si>
    <x:t xml:space="preserve">Mémoire de travail</x:t>
  </x:si>
  <x:si>
    <x:t xml:space="preserve">— Indice de mémoire de travail (IMT)</x:t>
  </x:si>
  <x:si>
    <x:t xml:space="preserve">Séquence de chiffres (WAIS-IV)</x:t>
  </x:si>
  <x:si>
    <x:t xml:space="preserve">attention auditive / mémoire de travail</x:t>
  </x:si>
  <x:si>
    <x:t xml:space="preserve">— Empan ordre direct (maintien) (Séquence de chiffres, WAIS-IV)</x:t>
  </x:si>
  <x:si>
    <x:t xml:space="preserve">empan attentionnel auditif</x:t>
  </x:si>
  <x:si>
    <x:t xml:space="preserve">— Empan ordre inverse (manipulation) (Séquence de chiffres, WAIS-IV)</x:t>
  </x:si>
  <x:si>
    <x:t xml:space="preserve">mémoire de travail verbale / manipulation</x:t>
  </x:si>
  <x:si>
    <x:t xml:space="preserve">— Empan ordre croissant (manipulation) (Séquence de chiffres, WAIS-IV)</x:t>
  </x:si>
  <x:si>
    <x:t xml:space="preserve">séquençage attentionnel / mémoire de travail</x:t>
  </x:si>
  <x:si>
    <x:t xml:space="preserve">— Arithmétique (WAIS-IV)</x:t>
  </x:si>
  <x:si>
    <x:t xml:space="preserve">calcul mental / mémoire de travail</x:t>
  </x:si>
  <x:si>
    <x:t xml:space="preserve">Vitesse de traitement</x:t>
  </x:si>
  <x:si>
    <x:t xml:space="preserve">— Indice de vitesse de traitement (IVT)</x:t>
  </x:si>
  <x:si>
    <x:t xml:space="preserve">— Code (WAIS-IV)</x:t>
  </x:si>
  <x:si>
    <x:t xml:space="preserve">balayage visuel / graphomotricité</x:t>
  </x:si>
  <x:si>
    <x:t xml:space="preserve">— Repérage de symboles (WAIS-IV)</x:t>
  </x:si>
  <x:si>
    <x:t xml:space="preserve">attention sélective / balayage visuel</x:t>
  </x:si>
  <x:si>
    <x:t xml:space="preserve">Stroop (D-KEFS) — vitesse de base</x:t>
  </x:si>
  <x:si>
    <x:t xml:space="preserve">dénomination / lecture automatisée</x:t>
  </x:si>
  <x:si>
    <x:t xml:space="preserve">— Condition 1 : Dénomination (Stroop, vitesse de base)</x:t>
  </x:si>
  <x:si>
    <x:t xml:space="preserve">dénomination rapide</x:t>
  </x:si>
  <x:si>
    <x:t xml:space="preserve">— Condition 2 : Lecture (Stroop, vitesse de base)</x:t>
  </x:si>
  <x:si>
    <x:t xml:space="preserve">lecture automatisée</x:t>
  </x:si>
  <x:si>
    <x:t xml:space="preserve">Mémoire épisodique verbale</x:t>
  </x:si>
  <x:si>
    <x:t xml:space="preserve">CVLT</x:t>
  </x:si>
  <x:si>
    <x:t xml:space="preserve">apprentissage et mémoire verbale épisodique</x:t>
  </x:si>
  <x:si>
    <x:t xml:space="preserve">— Essais 1 à 5 (CVLT)</x:t>
  </x:si>
  <x:si>
    <x:t xml:space="preserve">encodage / apprentissage verbal</x:t>
  </x:si>
  <x:si>
    <x:t xml:space="preserve">Percentile</x:t>
  </x:si>
  <x:si>
    <x:t xml:space="preserve">Profil brut des essais 1 à 5: 8-8-8-7-7.</x:t>
  </x:si>
  <x:si>
    <x:t xml:space="preserve">— Rappel différé (CVLT)</x:t>
  </x:si>
  <x:si>
    <x:t xml:space="preserve">mémoire verbale différée</x:t>
  </x:si>
  <x:si>
    <x:t xml:space="preserve">— Rappel total (avec liste B) (CVLT)</x:t>
  </x:si>
  <x:si>
    <x:t xml:space="preserve">rappel après interférence</x:t>
  </x:si>
  <x:si>
    <x:t xml:space="preserve">— Reconnaissance choix forcé (CVLT)</x:t>
  </x:si>
  <x:si>
    <x:t xml:space="preserve">validité de performance / reconnaissance forcée</x:t>
  </x:si>
  <x:si>
    <x:t xml:space="preserve">14/16</x:t>
  </x:si>
  <x:si>
    <x:t xml:space="preserve">Le choix forcé sert surtout d’indicateur de validité/performance. Ici le résultat est non valide, ce qui limite l’interprétation clinique des autres scores CVLT.</x:t>
  </x:si>
  <x:si>
    <x:t xml:space="preserve">— Total intrusions essais 1 à 5 (CVLT)</x:t>
  </x:si>
  <x:si>
    <x:t xml:space="preserve">monitoring verbal / intrusions d’apprentissage</x:t>
  </x:si>
  <x:si>
    <x:t xml:space="preserve">— Intrusions en rappel libre (CVLT)</x:t>
  </x:si>
  <x:si>
    <x:t xml:space="preserve">intrusions en rappel libre</x:t>
  </x:si>
  <x:si>
    <x:t xml:space="preserve">Score d’erreurs : un score standard élevé reflète surtout peu d’intrusions en rappel libre; à ne pas lire comme une force mnésique autonome.</x:t>
  </x:si>
  <x:si>
    <x:t xml:space="preserve">— Intrusions en rappel indicé (CVLT)</x:t>
  </x:si>
  <x:si>
    <x:t xml:space="preserve">intrusions en rappel indicé</x:t>
  </x:si>
  <x:si>
    <x:t xml:space="preserve">Score d’erreurs : un score standard élevé reflète surtout peu d’intrusions en rappel indicé; à ne pas lire comme une force mnésique autonome.</x:t>
  </x:si>
  <x:si>
    <x:t xml:space="preserve">— Total intrusions (CVLT)</x:t>
  </x:si>
  <x:si>
    <x:t xml:space="preserve">monitoring / contrôle des intrusions verbales</x:t>
  </x:si>
  <x:si>
    <x:t xml:space="preserve">— Total répétitions (CVLT)</x:t>
  </x:si>
  <x:si>
    <x:t xml:space="preserve">répétitions / persévérations verbales</x:t>
  </x:si>
  <x:si>
    <x:t xml:space="preserve">Score d’erreurs : un score élevé reflète surtout peu de répétitions/persévérations verbales.</x:t>
  </x:si>
  <x:si>
    <x:t xml:space="preserve">— Reconnaissance O/N total cibles (CVLT)</x:t>
  </x:si>
  <x:si>
    <x:t xml:space="preserve">reconnaissance verbale — détection des cibles</x:t>
  </x:si>
  <x:si>
    <x:t xml:space="preserve">Faiblesse possible de reconnaissance des cibles, mais l’interprétation est restreinte ici par l’échec au choix forcé CVLT et par la validité globale non valide.</x:t>
  </x:si>
  <x:si>
    <x:t xml:space="preserve">— Reconnaissance O/N total faux positifs (CVLT)</x:t>
  </x:si>
  <x:si>
    <x:t xml:space="preserve">reconnaissance verbale — faux positifs</x:t>
  </x:si>
  <x:si>
    <x:t xml:space="preserve">Score d’erreurs : un score élevé reflète surtout peu de faux positifs, donc une meilleure discrimination en reconnaissance.</x:t>
  </x:si>
  <x:si>
    <x:t xml:space="preserve">— Reconnaissance O/N discrimination non paramétrique (CVLT)</x:t>
  </x:si>
  <x:si>
    <x:t xml:space="preserve">reconnaissance verbale — discrimination cible/non-cible</x:t>
  </x:si>
  <x:si>
    <x:t xml:space="preserve">Mémoire épisodique visuelle / visuoconstruction</x:t>
  </x:si>
  <x:si>
    <x:t xml:space="preserve">Figure complexe de Rey (avec reconnaissance)</x:t>
  </x:si>
  <x:si>
    <x:t xml:space="preserve">mémoire visuelle / visuoconstruction</x:t>
  </x:si>
  <x:si>
    <x:t xml:space="preserve">— Copie (Figure complexe de Rey)</x:t>
  </x:si>
  <x:si>
    <x:t xml:space="preserve">organisation visuoconstructive / planification</x:t>
  </x:si>
  <x:si>
    <x:t xml:space="preserve">2-5</x:t>
  </x:si>
  <x:si>
    <x:t xml:space="preserve">Percentile range</x:t>
  </x:si>
  <x:si>
    <x:t xml:space="preserve">— Rappel immédiat (Figure complexe de Rey)</x:t>
  </x:si>
  <x:si>
    <x:t xml:space="preserve">mémoire visuospatiale immédiate</x:t>
  </x:si>
  <x:si>
    <x:t xml:space="preserve">T-score</x:t>
  </x:si>
  <x:si>
    <x:t xml:space="preserve">Le rappel immédiat Rey dépend en partie de la qualité de la copie/organisation initiale; une copie faible peut abaisser le rappel sans signifier à elle seule un trouble mnésique visuel pur.</x:t>
  </x:si>
  <x:si>
    <x:t xml:space="preserve">— Rappel différé (Figure complexe de Rey)</x:t>
  </x:si>
  <x:si>
    <x:t xml:space="preserve">mémoire visuospatiale différée</x:t>
  </x:si>
  <x:si>
    <x:t xml:space="preserve">Le rappel différé Rey doit être interprété avec prudence lorsque la copie initiale est faible, car l’encodage/organisation visuoconstructive peut influencer le rappel ultérieur.</x:t>
  </x:si>
  <x:si>
    <x:t xml:space="preserve">— Reconnaissance (Figure complexe de Rey)</x:t>
  </x:si>
  <x:si>
    <x:t xml:space="preserve">reconnaissance visuospatiale</x:t>
  </x:si>
  <x:si>
    <x:t xml:space="preserve">Une reconnaissance relativement meilleure que les rappels peut être compatible avec un encodage/une organisation initiale inefficace; à interpréter avec la qualité de la copie.</x:t>
  </x:si>
  <x:si>
    <x:t xml:space="preserve">— Temps de copie (Figure complexe de Rey)</x:t>
  </x:si>
  <x:si>
    <x:t xml:space="preserve">efficience visuo-constructive / vitesse visuo-motrice</x:t>
  </x:si>
  <x:si>
    <x:t xml:space="preserve">Attention soutenue / vigilance</x:t>
  </x:si>
  <x:si>
    <x:t xml:space="preserve">CPT</x:t>
  </x:si>
  <x:si>
    <x:t xml:space="preserve">attention continue / contrôle de réponse</x:t>
  </x:si>
  <x:si>
    <x:t xml:space="preserve">Le rapport Conners indique une administration valide; le CPT-3 décrit l’attention soutenue, la vigilance et le contrôle de réponse, mais ne constitue pas à lui seul un outil diagnostique.</x:t>
  </x:si>
  <x:si>
    <x:t xml:space="preserve">— Style de réponse (C) (CPT)</x:t>
  </x:si>
  <x:si>
    <x:t xml:space="preserve">style vitesse-précision / biais de réponse</x:t>
  </x:si>
  <x:si>
    <x:t xml:space="preserve">Le score C=38 traduit un style de réponse libéral privilégiant la vitesse à l’exactitude; ce style peut contribuer à un HRT un peu rapide sans signifier à lui seul une impulsivité pathologique.</x:t>
  </x:si>
  <x:si>
    <x:t xml:space="preserve">— Détectabilité (d') (CPT)</x:t>
  </x:si>
  <x:si>
    <x:t xml:space="preserve">discrimination cible-non-cible</x:t>
  </x:si>
  <x:si>
    <x:t xml:space="preserve">d′ T=46: discrimination cible/non-cible dans la moyenne. Au CPT-3, d′ est coté à rebours: des scores plus élevés indiquent une moins bonne détectabilité.</x:t>
  </x:si>
  <x:si>
    <x:t xml:space="preserve">— Omissions (CPT)</x:t>
  </x:si>
  <x:si>
    <x:t xml:space="preserve">inattention</x:t>
  </x:si>
  <x:si>
    <x:t xml:space="preserve">Omissions T=44: peu de cibles manquées; ce résultat est plutôt favorable et n’appuie pas une inattention marquée sur cette tâche.</x:t>
  </x:si>
  <x:si>
    <x:t xml:space="preserve">— Commissions (CPT)</x:t>
  </x:si>
  <x:si>
    <x:t xml:space="preserve">contrôle de réponse / impulsivité</x:t>
  </x:si>
  <x:si>
    <x:t xml:space="preserve">Commissions T=52: taux moyen de réponses aux non-cibles. Avec des persévérations non élevées, cet indice n’appuie pas une impulsivité franche.</x:t>
  </x:si>
  <x:si>
    <x:t xml:space="preserve">— Persévérations (CPT)</x:t>
  </x:si>
  <x:si>
    <x:t xml:space="preserve">impulsivité / anticipation</x:t>
  </x:si>
  <x:si>
    <x:t xml:space="preserve">Persévérations T=46: taux moyen de réponses anticipées ou répétitives; pas d’argument pour une impulsivité motrice marquée au CPT-3.</x:t>
  </x:si>
  <x:si>
    <x:t xml:space="preserve">— HRT (CPT)</x:t>
  </x:si>
  <x:si>
    <x:t xml:space="preserve">vitesse de réponse</x:t>
  </x:si>
  <x:si>
    <x:t xml:space="preserve">HRT T=42: vitesse de réponse légèrement rapide. Comme les commissions et persévérations ne sont pas élevées, ce profil peut refléter l’efficience et le style libéral plus qu’une impulsivité pathologique.</x:t>
  </x:si>
  <x:si>
    <x:t xml:space="preserve">— HRT SD (CPT)</x:t>
  </x:si>
  <x:si>
    <x:t xml:space="preserve">constance attentionnelle</x:t>
  </x:si>
  <x:si>
    <x:t xml:space="preserve">HRT SD T=37: faible dispersion des temps de réaction, ce qui traduit ici une bonne constance de réponse; au CPT-3, ce sont les scores élevés qui inquiètent.</x:t>
  </x:si>
  <x:si>
    <x:t xml:space="preserve">— Variabilité (CPT)</x:t>
  </x:si>
  <x:si>
    <x:t xml:space="preserve">Variabilité T=39: variabilité basse, cohérente avec une attention stable au fil des sous-blocs; un score plus élevé aurait davantage évoqué une inconstance attentionnelle.</x:t>
  </x:si>
  <x:si>
    <x:t xml:space="preserve">— HRT Block Change (CPT)</x:t>
  </x:si>
  <x:si>
    <x:t xml:space="preserve">attention soutenue</x:t>
  </x:si>
  <x:si>
    <x:t xml:space="preserve">HRT Block Change T=43: pas de ralentissement progressif avec le temps; le profil ne suggère pas de baisse d’attention soutenue sur cette tâche.</x:t>
  </x:si>
  <x:si>
    <x:t xml:space="preserve">— HRT ISI Change (CPT)</x:t>
  </x:si>
  <x:si>
    <x:t xml:space="preserve">vigilance</x:t>
  </x:si>
  <x:si>
    <x:t xml:space="preserve">HRT ISI Change T=52: variation moyenne de la vitesse selon l’intervalle interstimulus. Malgré une hausse ponctuelle des commissions de 2 s à 4 s, l’ensemble ne suggère pas de déficit de vigilance.</x:t>
  </x:si>
  <x:si>
    <x:t xml:space="preserve">Fonctions exécutives — inhibition / flexibilité cognitive</x:t>
  </x:si>
  <x:si>
    <x:t xml:space="preserve">Stroop (D-KEFS) — inhibition / alternance</x:t>
  </x:si>
  <x:si>
    <x:t xml:space="preserve">inhibition verbale / flexibilité cognitive</x:t>
  </x:si>
  <x:si>
    <x:t xml:space="preserve">— Condition 3 : Inhibition (Stroop, inhibition / alternance)</x:t>
  </x:si>
  <x:si>
    <x:t xml:space="preserve">inhibition de réponse / résistance à l’interférence</x:t>
  </x:si>
  <x:si>
    <x:t xml:space="preserve">La condition 3 du Stroop renseigne principalement l’inhibition verbale et la résistance à l’interférence; ce n’est pas une mesure pure de vitesse de traitement.</x:t>
  </x:si>
  <x:si>
    <x:t xml:space="preserve">— Condition 4 : Inhibition / alternance (Stroop, inhibition / alternance)</x:t>
  </x:si>
  <x:si>
    <x:t xml:space="preserve">inhibition + alternance / flexibilité cognitive</x:t>
  </x:si>
  <x:si>
    <x:t xml:space="preserve">La condition 4 renseigne l’inhibition avec alternance/changement d’ensemble, au-delà de la vitesse de base.</x:t>
  </x:si>
  <x:si>
    <x:t xml:space="preserve">— Erreurs condition 3 (Stroop, inhibition / alternance)</x:t>
  </x:si>
  <x:si>
    <x:t xml:space="preserve">précision / monitoring</x:t>
  </x:si>
  <x:si>
    <x:t xml:space="preserve">Score d’erreurs : un score élevé reflète surtout peu d’erreurs en condition d’inhibition.</x:t>
  </x:si>
  <x:si>
    <x:t xml:space="preserve">— Erreurs condition 4 (Stroop, inhibition / alternance)</x:t>
  </x:si>
  <x:si>
    <x:t xml:space="preserve">Score d’erreurs : un score élevé reflète surtout peu d’erreurs en condition d’inhibition/alternance.</x:t>
  </x:si>
  <x:si>
    <x:t xml:space="preserve">— Inhibition vs dénomination (Stroop, inhibition / alternance)</x:t>
  </x:si>
  <x:si>
    <x:t xml:space="preserve">coût d'inhibition</x:t>
  </x:si>
  <x:si>
    <x:t xml:space="preserve">Score de contraste : indice relatif de contrôle inhibiteur après prise en compte de la dénomination de base.</x:t>
  </x:si>
  <x:si>
    <x:t xml:space="preserve">— Alternance vs dénomination + lecture (Stroop, inhibition / alternance)</x:t>
  </x:si>
  <x:si>
    <x:t xml:space="preserve">flexibilité vs vitesse de base combinée</x:t>
  </x:si>
  <x:si>
    <x:t xml:space="preserve">— Alternance vs inhibition (Stroop, inhibition / alternance)</x:t>
  </x:si>
  <x:si>
    <x:t xml:space="preserve">coût de flexibilité</x:t>
  </x:si>
  <x:si>
    <x:t xml:space="preserve">— Alternance vs dénomination (Stroop, inhibition / alternance)</x:t>
  </x:si>
  <x:si>
    <x:t xml:space="preserve">flexibilité cognitive relative</x:t>
  </x:si>
  <x:si>
    <x:t xml:space="preserve">Score de contraste : indice relatif de flexibilité cognitive par rapport à la vitesse de base de dénomination.</x:t>
  </x:si>
  <x:si>
    <x:t xml:space="preserve">— Alternance vs lecture (Stroop, inhibition / alternance)</x:t>
  </x:si>
  <x:si>
    <x:t xml:space="preserve">flexibilité vs lecture</x:t>
  </x:si>
  <x:si>
    <x:t xml:space="preserve">Fonctions exécutives — planification / résolution de problèmes</x:t>
  </x:si>
  <x:si>
    <x:t xml:space="preserve">Tour de Londres</x:t>
  </x:si>
  <x:si>
    <x:t xml:space="preserve">planification / résolution de problèmes</x:t>
  </x:si>
  <x:si>
    <x:t xml:space="preserve">— Mouvements (Tour de Londres)</x:t>
  </x:si>
  <x:si>
    <x:t xml:space="preserve">efficience de planification spatiale</x:t>
  </x:si>
  <x:si>
    <x:t xml:space="preserve">— Scores corrects (Tour de Londres)</x:t>
  </x:si>
  <x:si>
    <x:t xml:space="preserve">— Temps d'initiation (Tour de Londres)</x:t>
  </x:si>
  <x:si>
    <x:t xml:space="preserve">temps de préplanification</x:t>
  </x:si>
  <x:si>
    <x:t xml:space="preserve">Le temps d’initiation reflète surtout le temps de préplanification; isolé, il ne démontre pas une planification supérieure et doit être lu avec l’exactitude, les mouvements et le temps total.</x:t>
  </x:si>
  <x:si>
    <x:t xml:space="preserve">— Temps d'exécution (Tour de Londres)</x:t>
  </x:si>
  <x:si>
    <x:t xml:space="preserve">efficience d’exécution</x:t>
  </x:si>
  <x:si>
    <x:t xml:space="preserve">— Temps total (Tour de Londres)</x:t>
  </x:si>
  <x:si>
    <x:t xml:space="preserve">efficience globale</x:t>
  </x:si>
  <x:si>
    <x:t xml:space="preserve">Le temps total reflète l’efficience globale de résolution; il est plus interprétable que le temps d’initiation pris seul.</x:t>
  </x:si>
  <x:si>
    <x:t xml:space="preserve">— Bris du temps (Tour de Londres)</x:t>
  </x:si>
  <x:si>
    <x:t xml:space="preserve">respect de la contrainte temporelle / monitoring</x:t>
  </x:si>
  <x:si>
    <x:t xml:space="preserve">— Bris de règle (Tour de Londres)</x:t>
  </x:si>
  <x:si>
    <x:t xml:space="preserve">respect des règles / inhibition</x:t>
  </x:si>
  <x:si>
    <x:t xml:space="preserve">Fonctions exécutives — fluidité verbale</x:t>
  </x:si>
  <x:si>
    <x:t xml:space="preserve">Fluidité verbale (D-KEFS)</x:t>
  </x:si>
  <x:si>
    <x:t xml:space="preserve">fluence verbale / accès lexical</x:t>
  </x:si>
  <x:si>
    <x:t xml:space="preserve">— Condition 1 : Fluidité alphabétique (Fluidité verbale, D-KEFS)</x:t>
  </x:si>
  <x:si>
    <x:t xml:space="preserve">accès phonémique</x:t>
  </x:si>
  <x:si>
    <x:t xml:space="preserve">— Condition 2 : Fluidité catégorielle (Fluidité verbale, D-KEFS)</x:t>
  </x:si>
  <x:si>
    <x:t xml:space="preserve">accès sémantique</x:t>
  </x:si>
  <x:si>
    <x:t xml:space="preserve">— Condition 3 : Alternance catégorielle (Fluidité verbale, D-KEFS)</x:t>
  </x:si>
  <x:si>
    <x:t xml:space="preserve">flexibilité sémantique / alternance</x:t>
  </x:si>
  <x:si>
    <x:t xml:space="preserve">— Fluidité alphabétique vs fluidité catégorielle (Fluidité verbale, D-KEFS)</x:t>
  </x:si>
  <x:si>
    <x:t xml:space="preserve">contraste phonémique vs sémantique</x:t>
  </x:si>
  <x:si>
    <x:t xml:space="preserve">Ce contraste suggère surtout un avantage relatif de l’accès sémantique sur l’accès phonémique; il ne suffit pas à conclure à une inefficience lexicale générale.</x:t>
  </x:si>
  <x:si>
    <x:t xml:space="preserve">— Alternance catégorielle vs fluidité catégorielle (Fluidité verbale, D-KEFS)</x:t>
  </x:si>
  <x:si>
    <x:t xml:space="preserve">Ce coût de flexibilité est un score de contraste dérivé; il doit être interprété prudemment et dans le contexte des scores de base.</x:t>
  </x:si>
  <x:si>
    <x:t xml:space="preserve">— Total d’alternances exactes (Fluidité verbale, D-KEFS)</x:t>
  </x:si>
  <x:si>
    <x:t xml:space="preserve">flexibilité / exactitude d’alternance</x:t>
  </x:si>
  <x:si>
    <x:t xml:space="preserve">— Premier intervalle (1–15 s) : total correct combiné (Fluidité verbale, D-KEFS)</x:t>
  </x:si>
  <x:si>
    <x:t xml:space="preserve">initiation / accès lexical initial</x:t>
  </x:si>
  <x:si>
    <x:t xml:space="preserve">— Deuxième intervalle (16–30 s) : total correct combiné (Fluidité verbale, D-KEFS)</x:t>
  </x:si>
  <x:si>
    <x:t xml:space="preserve">récupération lexicale soutenue</x:t>
  </x:si>
  <x:si>
    <x:t xml:space="preserve">— Troisième intervalle (31–45 s) : total correct combiné (Fluidité verbale, D-KEFS)</x:t>
  </x:si>
  <x:si>
    <x:t xml:space="preserve">— Quatrième intervalle (46–60 s) : total correct combiné (Fluidité verbale, D-KEFS)</x:t>
  </x:si>
  <x:si>
    <x:t xml:space="preserve">endurance de récupération lexicale</x:t>
  </x:si>
  <x:si>
    <x:t xml:space="preserve">— Total pertes de but verbales (Fluidité verbale, D-KEFS)</x:t>
  </x:si>
  <x:si>
    <x:t xml:space="preserve">maintien de consigne / monitoring</x:t>
  </x:si>
  <x:si>
    <x:t xml:space="preserve">Les pertes de but verbales relèvent du monitoring de la consigne; un score plus élevé reflète surtout peu d’erreurs de consigne.</x:t>
  </x:si>
  <x:si>
    <x:t xml:space="preserve">— Total répétitions verbales (Fluidité verbale, D-KEFS)</x:t>
  </x:si>
  <x:si>
    <x:t xml:space="preserve">persévération / monitoring</x:t>
  </x:si>
  <x:si>
    <x:t xml:space="preserve">Les répétitions verbales relèvent du monitoring/persévération; un score plus élevé reflète surtout peu de répétitions.</x:t>
  </x:si>
  <x:si>
    <x:t xml:space="preserve">— Total des réponses (correctes + incorrectes) (Fluidité verbale, D-KEFS)</x:t>
  </x:si>
  <x:si>
    <x:t xml:space="preserve">productivité verbale globale</x:t>
  </x:si>
  <x:si>
    <x:t xml:space="preserve">— Pourcentage d’erreurs de pertes de but (Fluidité verbale, D-KEFS)</x:t>
  </x:si>
  <x:si>
    <x:t xml:space="preserve">Score d’erreurs : un score plus élevé reflète surtout un faible pourcentage de pertes de but.</x:t>
  </x:si>
  <x:si>
    <x:t xml:space="preserve">— Pourcentage d’erreurs de répétitions (Fluidité verbale, D-KEFS)</x:t>
  </x:si>
  <x:si>
    <x:t xml:space="preserve">Score d’erreurs : un score plus élevé reflète surtout un faible pourcentage de répétitions.</x:t>
  </x:si>
  <x:si>
    <x:t xml:space="preserve">Fonctions exécutives — fluidité graphique</x:t>
  </x:si>
  <x:si>
    <x:t xml:space="preserve">Fluidité graphique (D-KEFS)</x:t>
  </x:si>
  <x:si>
    <x:t xml:space="preserve">fluence visuomotrice non verbale</x:t>
  </x:si>
  <x:si>
    <x:t xml:space="preserve">— Condition 1 : Filled dots (Fluidité graphique, D-KEFS)</x:t>
  </x:si>
  <x:si>
    <x:t xml:space="preserve">productivité visuo-motrice</x:t>
  </x:si>
  <x:si>
    <x:t xml:space="preserve">— Condition 2 : Empty dots only (Fluidité graphique, D-KEFS)</x:t>
  </x:si>
  <x:si>
    <x:t xml:space="preserve">balayage visuel / inhibition</x:t>
  </x:si>
  <x:si>
    <x:t xml:space="preserve">— Condition 3 : Switching (Fluidité graphique, D-KEFS)</x:t>
  </x:si>
  <x:si>
    <x:t xml:space="preserve">flexibilité visuospatiale</x:t>
  </x:si>
  <x:si>
    <x:t xml:space="preserve">— Points pleins + points vides combinés : total correct (Fluidité graphique, D-KEFS)</x:t>
  </x:si>
  <x:si>
    <x:t xml:space="preserve">productivité visuo-motrice globale</x:t>
  </x:si>
  <x:si>
    <x:t xml:space="preserve">— Alternance vs points pleins + points vides combinés (Fluidité graphique, D-KEFS)</x:t>
  </x:si>
  <x:si>
    <x:t xml:space="preserve">coût de flexibilité visuospatiale</x:t>
  </x:si>
  <x:si>
    <x:t xml:space="preserve">— Total pertes de but graphiques (Fluidité graphique, D-KEFS)</x:t>
  </x:si>
  <x:si>
    <x:t xml:space="preserve">Score d’erreurs : un score élevé reflète surtout peu de pertes de but graphiques, donc un meilleur maintien de la consigne.</x:t>
  </x:si>
  <x:si>
    <x:t xml:space="preserve">— Total répétitions graphiques (Fluidité graphique, D-KEFS)</x:t>
  </x:si>
  <x:si>
    <x:t xml:space="preserve">Score d’erreurs : un score élevé reflète surtout peu de répétitions graphiques, donc moins de persévérations.</x:t>
  </x:si>
  <x:si>
    <x:t xml:space="preserve">— Total tentatives graphiques (Fluidité graphique, D-KEFS)</x:t>
  </x:si>
  <x:si>
    <x:t xml:space="preserve">vitesse / productivité visuo-motrice</x:t>
  </x:si>
  <x:si>
    <x:t xml:space="preserve">— Pourcentage d’exactitude graphique (Fluidité graphique, D-KEFS)</x:t>
  </x:si>
  <x:si>
    <x:t xml:space="preserve">État émotionnel — anxiété</x:t>
  </x:si>
  <x:si>
    <x:t xml:space="preserve">IASTA</x:t>
  </x:si>
  <x:si>
    <x:t xml:space="preserve">anxiété auto-rapportée</x:t>
  </x:si>
  <x:si>
    <x:t xml:space="preserve">— État (IASTA)</x:t>
  </x:si>
  <x:si>
    <x:t xml:space="preserve">symptômes anxieux d’état</x:t>
  </x:si>
  <x:si>
    <x:t xml:space="preserve">Mesure auto-rapportée de symptômes anxieux d’état; un score plus élevé traduit davantage d’anxiété, pas une force cognitive.</x:t>
  </x:si>
  <x:si>
    <x:t xml:space="preserve">— Trait (IASTA)</x:t>
  </x:si>
  <x:si>
    <x:t xml:space="preserve">symptômes anxieux de trait</x:t>
  </x:si>
  <x:si>
    <x:t xml:space="preserve">Mesure auto-rapportée de symptômes anxieux de trait; un score plus élevé traduit davantage d’anxiété, pas une force cognitive.</x:t>
  </x:si>
  <x:si>
    <x:t xml:space="preserve">Fonctionnement intellectuel</x:t>
  </x:si>
  <x:si>
    <x:t xml:space="preserve">Fonctions exécutives</x:t>
  </x:si>
  <x:si>
    <x:t xml:space="preserve">Échelle d’intelligence de Wechsler pour adultes — quatrième édition (WAIS-IV)</x:t>
  </x:si>
  <x:si>
    <x:t xml:space="preserve">Delis-Kaplan Executive Function System (D-KEFS) — test d’interférence mot-couleur</x:t>
  </x:si>
  <x:si>
    <x:t xml:space="preserve">Attention / vitesse de traitement de l’information</x:t>
  </x:si>
  <x:si>
    <x:t xml:space="preserve">Delis-Kaplan Executive Function System (D-KEFS) — test de fluidité verbale</x:t>
  </x:si>
  <x:si>
    <x:t xml:space="preserve">Conners Continuous Performance Test — troisième édition (CPT-III)</x:t>
  </x:si>
  <x:si>
    <x:t xml:space="preserve">Delis-Kaplan Executive Function System (D-KEFS) — test de fluidité graphique</x:t>
  </x:si>
  <x:si>
    <x:t xml:space="preserve">Mémoire verbale</x:t>
  </x:si>
  <x:si>
    <x:t xml:space="preserve">Test californien d’apprentissage verbal — troisième édition, forme standard (CVLT-3 standard)</x:t>
  </x:si>
  <x:si>
    <x:t xml:space="preserve">Mémoire visuelle / visuoconstruction</x:t>
  </x:si>
  <x:si>
    <x:t xml:space="preserve">Tableau maître — tous les standards</x:t>
  </x:si>
  <x:si>
    <x:t xml:space="preserve">Description statistique</x:t>
  </x:si>
  <x:si>
    <x:t xml:space="preserve">Description clinique</x:t>
  </x:si>
  <x:si>
    <x:t xml:space="preserve">QI</x:t>
  </x:si>
  <x:si>
    <x:t xml:space="preserve">Score pondéré</x:t>
  </x:si>
  <x:si>
    <x:t xml:space="preserve">Score T</x:t>
  </x:si>
  <x:si>
    <x:t xml:space="preserve">Score Z (écart-type)</x:t>
  </x:si>
  <x:si>
    <x:t xml:space="preserve">très supérieur</x:t>
  </x:si>
  <x:si>
    <x:t xml:space="preserve">Intelligence très supérieure ou douance</x:t>
  </x:si>
  <x:si>
    <x:t xml:space="preserve">99,9e</x:t>
  </x:si>
  <x:si>
    <x:t xml:space="preserve">99,8e</x:t>
  </x:si>
  <x:si>
    <x:t xml:space="preserve">99,7e</x:t>
  </x:si>
  <x:si>
    <x:t xml:space="preserve">99,6e</x:t>
  </x:si>
  <x:si>
    <x:t xml:space="preserve">99,5e</x:t>
  </x:si>
  <x:si>
    <x:t xml:space="preserve">99,4e</x:t>
  </x:si>
  <x:si>
    <x:t xml:space="preserve">99,3e</x:t>
  </x:si>
  <x:si>
    <x:t xml:space="preserve">99,2e</x:t>
  </x:si>
  <x:si>
    <x:t xml:space="preserve">99,0e</x:t>
  </x:si>
  <x:si>
    <x:t xml:space="preserve">98,8e</x:t>
  </x:si>
  <x:si>
    <x:t xml:space="preserve">98,6e</x:t>
  </x:si>
  <x:si>
    <x:t xml:space="preserve">98,4e</x:t>
  </x:si>
  <x:si>
    <x:t xml:space="preserve">98,1e</x:t>
  </x:si>
  <x:si>
    <x:t xml:space="preserve">97,7e</x:t>
  </x:si>
  <x:si>
    <x:t xml:space="preserve">supérieur</x:t>
  </x:si>
  <x:si>
    <x:t xml:space="preserve">Intelligence supérieure</x:t>
  </x:si>
  <x:si>
    <x:t xml:space="preserve">97,3e</x:t>
  </x:si>
  <x:si>
    <x:t xml:space="preserve">96,9e</x:t>
  </x:si>
  <x:si>
    <x:t xml:space="preserve">96,4e</x:t>
  </x:si>
  <x:si>
    <x:t xml:space="preserve">95,8e</x:t>
  </x:si>
  <x:si>
    <x:t xml:space="preserve">95,2e</x:t>
  </x:si>
  <x:si>
    <x:t xml:space="preserve">94,5e</x:t>
  </x:si>
  <x:si>
    <x:t xml:space="preserve">93,7e</x:t>
  </x:si>
  <x:si>
    <x:t xml:space="preserve">92,9e</x:t>
  </x:si>
  <x:si>
    <x:t xml:space="preserve">91,9e</x:t>
  </x:si>
  <x:si>
    <x:t xml:space="preserve">90,9e</x:t>
  </x:si>
  <x:si>
    <x:t xml:space="preserve">moyenne élevée</x:t>
  </x:si>
  <x:si>
    <x:t xml:space="preserve">Intelligence vive</x:t>
  </x:si>
  <x:si>
    <x:t xml:space="preserve">89,7e</x:t>
  </x:si>
  <x:si>
    <x:t xml:space="preserve">88,5e</x:t>
  </x:si>
  <x:si>
    <x:t xml:space="preserve">87,1e</x:t>
  </x:si>
  <x:si>
    <x:t xml:space="preserve">85,7e</x:t>
  </x:si>
  <x:si>
    <x:t xml:space="preserve">84,1e</x:t>
  </x:si>
  <x:si>
    <x:t xml:space="preserve">82,5e</x:t>
  </x:si>
  <x:si>
    <x:t xml:space="preserve">80,7e</x:t>
  </x:si>
  <x:si>
    <x:t xml:space="preserve">78,8e</x:t>
  </x:si>
  <x:si>
    <x:t xml:space="preserve">76,8e</x:t>
  </x:si>
  <x:si>
    <x:t xml:space="preserve">74,8e</x:t>
  </x:si>
  <x:si>
    <x:t xml:space="preserve">moyenne</x:t>
  </x:si>
  <x:si>
    <x:t xml:space="preserve">Intelligence moyenne</x:t>
  </x:si>
  <x:si>
    <x:t xml:space="preserve">72,6e</x:t>
  </x:si>
  <x:si>
    <x:t xml:space="preserve">70,3e</x:t>
  </x:si>
  <x:si>
    <x:t xml:space="preserve">68,0e</x:t>
  </x:si>
  <x:si>
    <x:t xml:space="preserve">65,5e</x:t>
  </x:si>
  <x:si>
    <x:t xml:space="preserve">63,1e</x:t>
  </x:si>
  <x:si>
    <x:t xml:space="preserve">60,5e</x:t>
  </x:si>
  <x:si>
    <x:t xml:space="preserve">57,9e</x:t>
  </x:si>
  <x:si>
    <x:t xml:space="preserve">55,3e</x:t>
  </x:si>
  <x:si>
    <x:t xml:space="preserve">52,7e</x:t>
  </x:si>
  <x:si>
    <x:t xml:space="preserve">50,0e</x:t>
  </x:si>
  <x:si>
    <x:t xml:space="preserve">47,3e</x:t>
  </x:si>
  <x:si>
    <x:t xml:space="preserve">44,7e</x:t>
  </x:si>
  <x:si>
    <x:t xml:space="preserve">42,1e</x:t>
  </x:si>
  <x:si>
    <x:t xml:space="preserve">39,5e</x:t>
  </x:si>
  <x:si>
    <x:t xml:space="preserve">36,9e</x:t>
  </x:si>
  <x:si>
    <x:t xml:space="preserve">34,5e</x:t>
  </x:si>
  <x:si>
    <x:t xml:space="preserve">32,0e</x:t>
  </x:si>
  <x:si>
    <x:t xml:space="preserve">29,7e</x:t>
  </x:si>
  <x:si>
    <x:t xml:space="preserve">27,4e</x:t>
  </x:si>
  <x:si>
    <x:t xml:space="preserve">25,2e</x:t>
  </x:si>
  <x:si>
    <x:t xml:space="preserve">moyenne faible</x:t>
  </x:si>
  <x:si>
    <x:t xml:space="preserve">Lenteur intellectuelle</x:t>
  </x:si>
  <x:si>
    <x:t xml:space="preserve">23,2e</x:t>
  </x:si>
  <x:si>
    <x:t xml:space="preserve">21,2e</x:t>
  </x:si>
  <x:si>
    <x:t xml:space="preserve">19,3e</x:t>
  </x:si>
  <x:si>
    <x:t xml:space="preserve">17,5e</x:t>
  </x:si>
  <x:si>
    <x:t xml:space="preserve">15,9e</x:t>
  </x:si>
  <x:si>
    <x:t xml:space="preserve">14,3e</x:t>
  </x:si>
  <x:si>
    <x:t xml:space="preserve">12,9e</x:t>
  </x:si>
  <x:si>
    <x:t xml:space="preserve">11,5e</x:t>
  </x:si>
  <x:si>
    <x:t xml:space="preserve">10,3e</x:t>
  </x:si>
  <x:si>
    <x:t xml:space="preserve">9,1e</x:t>
  </x:si>
  <x:si>
    <x:t xml:space="preserve">limite</x:t>
  </x:si>
  <x:si>
    <x:t xml:space="preserve">Intelligence limite</x:t>
  </x:si>
  <x:si>
    <x:t xml:space="preserve">8,1e</x:t>
  </x:si>
  <x:si>
    <x:t xml:space="preserve">7,1e</x:t>
  </x:si>
  <x:si>
    <x:t xml:space="preserve">6,3e</x:t>
  </x:si>
  <x:si>
    <x:t xml:space="preserve">5,5e</x:t>
  </x:si>
  <x:si>
    <x:t xml:space="preserve">4,8e</x:t>
  </x:si>
  <x:si>
    <x:t xml:space="preserve">4,2e</x:t>
  </x:si>
  <x:si>
    <x:t xml:space="preserve">3,6e</x:t>
  </x:si>
  <x:si>
    <x:t xml:space="preserve">3,1e</x:t>
  </x:si>
  <x:si>
    <x:t xml:space="preserve">2,7e</x:t>
  </x:si>
  <x:si>
    <x:t xml:space="preserve">2,3e</x:t>
  </x:si>
  <x:si>
    <x:t xml:space="preserve">extrêmement faible</x:t>
  </x:si>
  <x:si>
    <x:t xml:space="preserve">Déficience intellectuelle — niveau léger</x:t>
  </x:si>
  <x:si>
    <x:t xml:space="preserve">1,9e</x:t>
  </x:si>
  <x:si>
    <x:t xml:space="preserve">1,6e</x:t>
  </x:si>
  <x:si>
    <x:t xml:space="preserve">1,4e</x:t>
  </x:si>
  <x:si>
    <x:t xml:space="preserve">1,2e</x:t>
  </x:si>
  <x:si>
    <x:t xml:space="preserve">1er</x:t>
  </x:si>
  <x:si>
    <x:t xml:space="preserve">0,8e</x:t>
  </x:si>
  <x:si>
    <x:t xml:space="preserve">0,7e</x:t>
  </x:si>
  <x:si>
    <x:t xml:space="preserve">0,6e</x:t>
  </x:si>
  <x:si>
    <x:t xml:space="preserve">0,5e</x:t>
  </x:si>
  <x:si>
    <x:t xml:space="preserve">0,4e</x:t>
  </x:si>
  <x:si>
    <x:t xml:space="preserve">0,3e</x:t>
  </x:si>
  <x:si>
    <x:t xml:space="preserve">0,2e</x:t>
  </x:si>
  <x:si>
    <x:t xml:space="preserve">0,1e</x:t>
  </x:si>
  <x:si>
    <x:t xml:space="preserve">&lt;1</x:t>
  </x:si>
  <x:si>
    <x:t xml:space="preserve">&lt;0,1e</x:t>
  </x:si>
  <x:si>
    <x:t xml:space="preserve">Déficience intellectuelle — niveau moyen</x:t>
  </x:si>
  <x:si>
    <x:t xml:space="preserve">(39)</x:t>
  </x:si>
  <x:si>
    <x:t xml:space="preserve">(38)</x:t>
  </x:si>
  <x:si>
    <x:t xml:space="preserve">(37)</x:t>
  </x:si>
  <x:si>
    <x:t xml:space="preserve">(36)</x:t>
  </x:si>
  <x:si>
    <x:t xml:space="preserve">(35)</x:t>
  </x:si>
  <x:si>
    <x:t xml:space="preserve">Déficience intellectuelle — niveau sévère</x:t>
  </x:si>
  <x:si>
    <x:t xml:space="preserve">(34)</x:t>
  </x:si>
  <x:si>
    <x:t xml:space="preserve">(33)</x:t>
  </x:si>
  <x:si>
    <x:t xml:space="preserve">(32)</x:t>
  </x:si>
  <x:si>
    <x:t xml:space="preserve">(31)</x:t>
  </x:si>
  <x:si>
    <x:t xml:space="preserve">(30)</x:t>
  </x:si>
  <x:si>
    <x:t xml:space="preserve">(29)</x:t>
  </x:si>
  <x:si>
    <x:t xml:space="preserve">(28)</x:t>
  </x:si>
  <x:si>
    <x:t xml:space="preserve">(27)</x:t>
  </x:si>
  <x:si>
    <x:t xml:space="preserve">(26)</x:t>
  </x:si>
  <x:si>
    <x:t xml:space="preserve">(25)</x:t>
  </x:si>
  <x:si>
    <x:t xml:space="preserve">(24)</x:t>
  </x:si>
  <x:si>
    <x:t xml:space="preserve">(23)</x:t>
  </x:si>
  <x:si>
    <x:t xml:space="preserve">(22)</x:t>
  </x:si>
  <x:si>
    <x:t xml:space="preserve">(21)</x:t>
  </x:si>
  <x:si>
    <x:t xml:space="preserve">(20)</x:t>
  </x:si>
  <x:si>
    <x:t xml:space="preserve">Déficience intellectuelle — niveau profond</x:t>
  </x:si>
  <x:si>
    <x:t xml:space="preserve">(19)</x:t>
  </x:si>
  <x:si>
    <x:t xml:space="preserve">(18)</x:t>
  </x:si>
  <x:si>
    <x:t xml:space="preserve">(17)</x:t>
  </x:si>
  <x:si>
    <x:t xml:space="preserve">(16)</x:t>
  </x:si>
  <x:si>
    <x:t xml:space="preserve">(15)</x:t>
  </x:si>
  <x:si>
    <x:t xml:space="preserve">(14)</x:t>
  </x:si>
  <x:si>
    <x:t xml:space="preserve">(13)</x:t>
  </x:si>
  <x:si>
    <x:t xml:space="preserve">(12)</x:t>
  </x:si>
  <x:si>
    <x:t xml:space="preserve">Synthèse clinique — profil cognitif</x:t>
  </x:si>
  <x:si>
    <x:t xml:space="preserve">Lecture clinique synthétique des principaux indicateurs cognitifs — ne remplace pas le rapport interprétatif complet</x:t>
  </x:si>
  <x:si>
    <x:t xml:space="preserve">Dossier</x:t>
  </x:si>
  <x:si>
    <x:t xml:space="preserve">Date</x:t>
  </x:si>
  <x:si>
    <x:t xml:space="preserve">Profil clinique</x:t>
  </x:si>
  <x:si>
    <x:t xml:space="preserve">Appuis cliniques</x:t>
  </x:si>
  <x:si>
    <x:t xml:space="preserve">Vigilances cliniques</x:t>
  </x:si>
  <x:si>
    <x:t xml:space="preserve">Cadre de lecture</x:t>
  </x:si>
  <x:si>
    <x:t xml:space="preserve">Les paragraphes qui suivent résument les principales fonctions cognitives à partir des interprétations directes du Tableau de scores. Aucune moyenne intertests ni aucun score synthétique n’est utilisé.</x:t>
  </x:si>
  <x:si>
    <x:t xml:space="preserve">Domaine</x:t>
  </x:si>
  <x:si>
    <x:t xml:space="preserve">Mesure principale</x:t>
  </x:si>
  <x:si>
    <x:t xml:space="preserve">Score</x:t>
  </x:si>
  <x:si>
    <x:t xml:space="preserve">Centile</x:t>
  </x:si>
  <x:si>
    <x:t xml:space="preserve">Fonctionnement global</x:t>
  </x:si>
  <x:si>
    <x:t xml:space="preserve">Efficience intellectuelle globale (QI total (WAIS-IV))</x:t>
  </x:si>
  <x:si>
    <x:t xml:space="preserve">Connaissances, abstraction et vocabulaire (Indice de compréhension verbale (ICV))</x:t>
  </x:si>
  <x:si>
    <x:t xml:space="preserve">Raisonnement visuospatial</x:t>
  </x:si>
  <x:si>
    <x:t xml:space="preserve">Raisonnement non verbal et imagerie mentale</x:t>
  </x:si>
  <x:si>
    <x:t xml:space="preserve">Maintien et manipulation mentale de l’information</x:t>
  </x:si>
  <x:si>
    <x:t xml:space="preserve">Traitement simple et rapide de l’information</x:t>
  </x:si>
  <x:si>
    <x:t xml:space="preserve">Visuoconstruction</x:t>
  </x:si>
  <x:si>
    <x:t xml:space="preserve">Organisation visuoconstructive</x:t>
  </x:si>
  <x:si>
    <x:t xml:space="preserve">Mémoire visuelle différée</x:t>
  </x:si>
  <x:si>
    <x:t xml:space="preserve">Rappel visuel différé d’un matériel complexe</x:t>
  </x:si>
  <x:si>
    <x:t xml:space="preserve">Apprentissage verbal</x:t>
  </x:si>
  <x:si>
    <x:t xml:space="preserve">Discrimination attentionnelle</x:t>
  </x:si>
  <x:si>
    <x:t xml:space="preserve">Reconnaissance verbale</x:t>
  </x:si>
  <x:si>
    <x:t xml:space="preserve">Inhibition</x:t>
  </x:si>
  <x:si>
    <x:t xml:space="preserve">Contrôle inhibiteur</x:t>
  </x:si>
  <x:si>
    <x:t xml:space="preserve">Flexibilité cognitive</x:t>
  </x:si>
  <x:si>
    <x:t xml:space="preserve">Flexibilité réactive</x:t>
  </x:si>
  <x:si>
    <x:t xml:space="preserve">Fluidité verbale</x:t>
  </x:si>
  <x:si>
    <x:t xml:space="preserve">Production verbale sémantique</x:t>
  </x:si>
  <x:si>
    <x:t xml:space="preserve">Fluidité graphique</x:t>
  </x:si>
  <x:si>
    <x:t xml:space="preserve">Production graphique et autocontrôle</x:t>
  </x:si>
  <x:si>
    <x:t xml:space="preserve">Planification / efficience</x:t>
  </x:si>
  <x:si>
    <x:t xml:space="preserve">Efficience de planification</x:t>
  </x:si>
  <x:si>
    <x:t xml:space="preserve">Contexte émotionnel évalué</x:t>
  </x:si>
  <x:si>
    <x:t xml:space="preserve">Interprétation clinique</x:t>
  </x:si>
  <x:si>
    <x:t xml:space="preserve">Fonctions visuo-spatiales</x:t>
  </x:si>
  <x:si>
    <x:t xml:space="preserve">Attention</x:t>
  </x:si>
  <x:si>
    <x:t xml:space="preserve">Vigilance</x:t>
  </x:si>
  <x:si>
    <x:t xml:space="preserve">Attention soutenue</x:t>
  </x:si>
  <x:si>
    <x:t xml:space="preserve">Mémoire</x:t>
  </x:si>
  <x:si>
    <x:t xml:space="preserve">Mémoire épisodique visuelle</x:t>
  </x:si>
  <x:si>
    <x:t xml:space="preserve">Planification et organisation</x:t>
  </x:si>
  <x:si>
    <x:t xml:space="preserve">Flexibilité et inhibition</x:t>
  </x:si>
  <x:si>
    <x:t xml:space="preserve">Contexte émotionnel</x:t>
  </x:si>
  <x:si>
    <x:t xml:space="preserve">Retentissement clinique</x:t>
  </x:si>
  <x:si>
    <x:t xml:space="preserve">Repère visuel — fonctions cognitives</x:t>
  </x:si>
  <x:si>
    <x:t xml:space="preserve">Sous la moyenne</x:t>
  </x:si>
  <x:si>
    <x:t xml:space="preserve">Dans la moyenne</x:t>
  </x:si>
  <x:si>
    <x:t xml:space="preserve">Au-dessus de la moyenne</x:t>
  </x:si>
  <x:si>
    <x:t xml:space="preserve">Extr. faible</x:t>
  </x:si>
  <x:si>
    <x:t xml:space="preserve">Limite</x:t>
  </x:si>
  <x:si>
    <x:t xml:space="preserve">Moy. faible</x:t>
  </x:si>
  <x:si>
    <x:t xml:space="preserve">Moyenne</x:t>
  </x:si>
  <x:si>
    <x:t xml:space="preserve">Moy. élevée</x:t>
  </x:si>
  <x:si>
    <x:t xml:space="preserve">Supérieur</x:t>
  </x:si>
  <x:si>
    <x:t xml:space="preserve">Très sup.</x:t>
  </x:si>
  <x:si>
    <x:t xml:space="preserve">Fonctions cognitives</x:t>
  </x:si>
  <x:si>
    <x:t xml:space="preserve">Mesure source</x:t>
  </x:si>
  <x:si>
    <x:t xml:space="preserve">Capacités intellectuelles générales</x:t>
  </x:si>
  <x:si>
    <x:t xml:space="preserve">Attention, vitesse de base et mémoire de travail</x:t>
  </x:si>
  <x:si>
    <x:t xml:space="preserve">Mémoire et apprentissage</x:t>
  </x:si>
  <x:si>
    <x:t xml:space="preserve">Attention soutenue et contrôle attentionnel</x:t>
  </x:si>
  <x:si>
    <x:t xml:space="preserve">Fonctions exécutives et planification</x:t>
  </x:si>
  <x:si>
    <x:t xml:space="preserve">Fluences verbales et non verbales</x:t>
  </x:si>
  <x:si>
    <x:t xml:space="preserve">Annexe méthodologique — fonctions cognitives et lectures directes</x:t>
  </x:si>
  <x:si>
    <x:t xml:space="preserve">Fonction cognitive</x:t>
  </x:si>
  <x:si>
    <x:t xml:space="preserve">Interprétation directe</x:t>
  </x:si>
</x:sst>
</file>

<file path=xl/styles.xml><?xml version="1.0" encoding="utf-8"?>
<x:styleSheet xmlns:x="http://schemas.openxmlformats.org/spreadsheetml/2006/main">
  <x:numFmts count="3">
    <x:numFmt numFmtId="164" formatCode="0.0"/>
    <x:numFmt numFmtId="165" formatCode="0.00;\-0.00"/>
    <x:numFmt numFmtId="166" formatCode="dd/mm/yyyy"/>
  </x:numFmts>
  <x:fonts count="40">
    <x:font>
      <x:sz val="12"/>
      <x:color theme="1"/>
      <x:name val="Aptos Narrow"/>
    </x:font>
    <x:font>
      <x:sz val="11"/>
      <x:color theme="1"/>
      <x:name val="Aptos Narrow"/>
    </x:font>
    <x:font>
      <x:sz val="11"/>
      <x:color rgb="333333"/>
      <x:name val="Aptos Narrow"/>
    </x:font>
    <x:font>
      <x:sz val="11"/>
      <x:color rgb="7F7F7F"/>
      <x:name val="Aptos Narrow"/>
    </x:font>
    <x:font>
      <x:b/>
      <x:sz val="10"/>
      <x:color rgb="FFFFFF"/>
      <x:name val="Aptos"/>
    </x:font>
    <x:font>
      <x:sz val="10"/>
      <x:color rgb="222222"/>
      <x:name val="Aptos"/>
    </x:font>
    <x:font>
      <x:b/>
      <x:sz val="10"/>
      <x:color rgb="222222"/>
      <x:name val="Aptos"/>
    </x:font>
    <x:font>
      <x:b/>
      <x:sz val="13"/>
      <x:color rgb="FFFFFF"/>
      <x:name val="Aptos"/>
    </x:font>
    <x:font>
      <x:b/>
      <x:sz val="10"/>
      <x:color rgb="374151"/>
      <x:name val="Aptos"/>
    </x:font>
    <x:font>
      <x:sz val="10"/>
      <x:color rgb="0563C1"/>
      <x:name val="Aptos"/>
    </x:font>
    <x:font>
      <x:b/>
      <x:sz val="10"/>
      <x:color rgb="1F2937"/>
      <x:name val="Aptos"/>
    </x:font>
    <x:font>
      <x:sz val="10"/>
      <x:color rgb="222222"/>
      <x:name val="Calibri"/>
    </x:font>
    <x:font>
      <x:sz val="11"/>
      <x:color rgb="222222"/>
      <x:name val="Calibri"/>
    </x:font>
    <x:font>
      <x:b/>
      <x:sz val="11"/>
      <x:color rgb="222222"/>
      <x:name val="Calibri"/>
    </x:font>
    <x:font>
      <x:i/>
      <x:sz val="11"/>
      <x:color rgb="222222"/>
      <x:name val="Calibri"/>
    </x:font>
    <x:font>
      <x:b/>
      <x:sz val="11"/>
      <x:color rgb="111827"/>
      <x:name val="Calibri"/>
    </x:font>
    <x:font>
      <x:sz val="10"/>
      <x:color rgb="222222"/>
      <x:name val="Calibri"/>
    </x:font>
    <x:font>
      <x:b/>
      <x:sz val="10"/>
      <x:color rgb="222222"/>
      <x:name val="Calibri"/>
    </x:font>
    <x:font>
      <x:b/>
      <x:sz val="10"/>
      <x:color rgb="374151"/>
      <x:name val="Calibri"/>
    </x:font>
    <x:font>
      <x:b/>
      <x:sz val="9"/>
      <x:color rgb="000000"/>
      <x:name val="Tahoma"/>
    </x:font>
    <x:font>
      <x:sz val="9"/>
      <x:color rgb="000000"/>
      <x:name val="Tahoma"/>
    </x:font>
    <x:font>
      <x:b/>
      <x:sz val="10"/>
      <x:color rgb="000000"/>
      <x:name val="Tahoma"/>
    </x:font>
    <x:font>
      <x:i/>
      <x:sz val="9"/>
      <x:color rgb="5B6575"/>
      <x:name val="Aptos"/>
    </x:font>
    <x:font>
      <x:b/>
      <x:sz val="10"/>
      <x:color rgb="233A63"/>
      <x:name val="Aptos"/>
    </x:font>
    <x:font>
      <x:sz val="10"/>
      <x:color rgb="1F2937"/>
      <x:name val="Aptos"/>
    </x:font>
    <x:font>
      <x:sz val="11"/>
      <x:color theme="1"/>
      <x:name val="Calibri"/>
    </x:font>
    <x:font>
      <x:b/>
      <x:sz val="11"/>
      <x:color theme="1"/>
      <x:name val="Calibri"/>
    </x:font>
    <x:font>
      <x:b/>
      <x:i/>
      <x:sz val="8"/>
      <x:color rgb="000000"/>
      <x:name val="Calibri"/>
    </x:font>
    <x:font>
      <x:i/>
      <x:sz val="8"/>
      <x:color rgb="000000"/>
      <x:name val="Calibri"/>
    </x:font>
    <x:font>
      <x:b/>
      <x:sz val="14"/>
      <x:color rgb="FFFFFF"/>
      <x:name val="Calibri"/>
    </x:font>
    <x:font>
      <x:b/>
      <x:sz val="10"/>
      <x:color rgb="222222"/>
      <x:name val="Calibri"/>
    </x:font>
    <x:font>
      <x:b/>
      <x:sz val="11"/>
      <x:color rgb="FFFFFF"/>
      <x:name val="Calibri"/>
    </x:font>
    <x:font>
      <x:b/>
      <x:sz val="11"/>
      <x:color rgb="1D2330"/>
      <x:name val="Calibri"/>
    </x:font>
    <x:font>
      <x:sz val="12"/>
      <x:color theme="1"/>
      <x:name val="Calibri"/>
    </x:font>
    <x:font>
      <x:b/>
      <x:sz val="13"/>
      <x:color rgb="222222"/>
      <x:name val="Calibri"/>
    </x:font>
    <x:font>
      <x:b/>
      <x:sz val="13"/>
      <x:color rgb="1D2330"/>
      <x:name val="Calibri"/>
    </x:font>
    <x:font>
      <x:b/>
      <x:sz val="13"/>
      <x:color rgb="FFFFFF"/>
      <x:name val="Calibri"/>
    </x:font>
    <x:font>
      <x:sz val="11"/>
      <x:color rgb="333333"/>
      <x:name val="Calibri"/>
    </x:font>
    <x:font>
      <x:b/>
      <x:sz val="10"/>
      <x:color rgb="FFFFFF"/>
      <x:name val="Calibri"/>
    </x:font>
    <x:font>
      <x:sz val="11"/>
      <x:color rgb="7F7F7F"/>
      <x:name val="Calibri"/>
    </x:font>
  </x:fonts>
  <x:fills count="38">
    <x:fill>
      <x:patternFill patternType="none"/>
    </x:fill>
    <x:fill>
      <x:patternFill patternType="gray125"/>
    </x:fill>
    <x:fill>
      <x:patternFill patternType="solid">
        <x:fgColor rgb="FFFFFF"/>
      </x:patternFill>
    </x:fill>
    <x:fill>
      <x:patternFill patternType="solid">
        <x:fgColor rgb="1D2330"/>
      </x:patternFill>
    </x:fill>
    <x:fill>
      <x:patternFill patternType="solid">
        <x:fgColor rgb="D9EAD3"/>
      </x:patternFill>
    </x:fill>
    <x:fill>
      <x:patternFill patternType="solid">
        <x:fgColor rgb="D9E2F3"/>
      </x:patternFill>
    </x:fill>
    <x:fill>
      <x:patternFill patternType="solid">
        <x:fgColor rgb="F7C6E0"/>
      </x:patternFill>
    </x:fill>
    <x:fill>
      <x:patternFill patternType="solid">
        <x:fgColor rgb="D6CDEB"/>
      </x:patternFill>
    </x:fill>
    <x:fill>
      <x:patternFill patternType="solid">
        <x:fgColor rgb="BFE3F8"/>
      </x:patternFill>
    </x:fill>
    <x:fill>
      <x:patternFill patternType="solid">
        <x:fgColor rgb="CFE8B4"/>
      </x:patternFill>
    </x:fill>
    <x:fill>
      <x:patternFill patternType="solid">
        <x:fgColor rgb="F7E08A"/>
      </x:patternFill>
    </x:fill>
    <x:fill>
      <x:patternFill patternType="solid">
        <x:fgColor rgb="F9C796"/>
      </x:patternFill>
    </x:fill>
    <x:fill>
      <x:patternFill patternType="solid">
        <x:fgColor rgb="F6A5A5"/>
      </x:patternFill>
    </x:fill>
    <x:fill>
      <x:patternFill patternType="solid">
        <x:fgColor rgb="DCC8E8"/>
      </x:patternFill>
    </x:fill>
    <x:fill>
      <x:patternFill patternType="solid">
        <x:fgColor rgb="F8FAFC"/>
      </x:patternFill>
    </x:fill>
    <x:fill>
      <x:patternFill patternType="solid">
        <x:fgColor rgb="F4F9FF"/>
      </x:patternFill>
    </x:fill>
    <x:fill>
      <x:patternFill patternType="solid">
        <x:fgColor rgb="FCF7EF"/>
      </x:patternFill>
    </x:fill>
    <x:fill>
      <x:patternFill patternType="solid">
        <x:fgColor rgb="F1F8F2"/>
      </x:patternFill>
    </x:fill>
    <x:fill>
      <x:patternFill patternType="solid">
        <x:fgColor rgb="FAFAFA"/>
      </x:patternFill>
    </x:fill>
    <x:fill>
      <x:patternFill patternType="solid">
        <x:fgColor rgb="D8E4F2"/>
      </x:patternFill>
    </x:fill>
    <x:fill>
      <x:patternFill patternType="solid">
        <x:fgColor rgb="FAFBFC"/>
      </x:patternFill>
    </x:fill>
    <x:fill>
      <x:patternFill patternType="solid">
        <x:fgColor rgb="E5E7EB"/>
      </x:patternFill>
    </x:fill>
    <x:fill>
      <x:patternFill patternType="solid">
        <x:fgColor rgb="F7F8FA"/>
      </x:patternFill>
    </x:fill>
    <x:fill>
      <x:patternFill patternType="solid">
        <x:fgColor rgb="233A63"/>
      </x:patternFill>
    </x:fill>
    <x:fill>
      <x:patternFill patternType="solid">
        <x:fgColor rgb="E7EEF7"/>
      </x:patternFill>
    </x:fill>
    <x:fill>
      <x:patternFill patternType="solid">
        <x:fgColor rgb="F5F7FA"/>
      </x:patternFill>
    </x:fill>
    <x:fill>
      <x:patternFill patternType="solid">
        <x:fgColor rgb="EDF3F8"/>
      </x:patternFill>
    </x:fill>
    <x:fill>
      <x:patternFill patternType="solid">
        <x:fgColor rgb="EEF5EC"/>
      </x:patternFill>
    </x:fill>
    <x:fill>
      <x:patternFill patternType="solid">
        <x:fgColor rgb="F3F7FB"/>
      </x:patternFill>
    </x:fill>
    <x:fill>
      <x:patternFill patternType="solid">
        <x:fgColor rgb="5B657A"/>
      </x:patternFill>
    </x:fill>
    <x:fill>
      <x:patternFill patternType="solid">
        <x:fgColor rgb="D9E7F7"/>
      </x:patternFill>
    </x:fill>
    <x:fill>
      <x:patternFill patternType="solid">
        <x:fgColor theme="5" tint="0.79998"/>
      </x:patternFill>
    </x:fill>
    <x:fill>
      <x:patternFill patternType="solid">
        <x:fgColor theme="5" tint="0.39998"/>
      </x:patternFill>
    </x:fill>
    <x:fill>
      <x:patternFill patternType="solid">
        <x:fgColor theme="7" tint="0.79998"/>
      </x:patternFill>
    </x:fill>
    <x:fill>
      <x:patternFill patternType="solid">
        <x:fgColor theme="7" tint="0.39998"/>
      </x:patternFill>
    </x:fill>
    <x:fill>
      <x:patternFill patternType="solid">
        <x:fgColor theme="9" tint="0.79998"/>
      </x:patternFill>
    </x:fill>
    <x:fill>
      <x:patternFill patternType="solid">
        <x:fgColor theme="9" tint="0.39998"/>
      </x:patternFill>
    </x:fill>
    <x:fill>
      <x:patternFill patternType="solid">
        <x:fgColor rgb="2B79C7"/>
      </x:patternFill>
    </x:fill>
  </x:fills>
  <x:borders count="138">
    <x:border/>
    <x:border>
      <x:left style="medium">
        <x:color rgb="A03B6B"/>
      </x:left>
      <x:right style="thin">
        <x:color rgb="FFFFFF"/>
      </x:right>
      <x:bottom style="thin">
        <x:color rgb="FFFFFF"/>
      </x:bottom>
    </x:border>
    <x:border>
      <x:left style="thin">
        <x:color rgb="FFFFFF"/>
      </x:left>
      <x:right style="thin">
        <x:color rgb="FFFFFF"/>
      </x:right>
      <x:bottom style="thin">
        <x:color rgb="FFFFFF"/>
      </x:bottom>
    </x:border>
    <x:border>
      <x:left style="thin">
        <x:color rgb="FFFFFF"/>
      </x:left>
      <x:right style="medium">
        <x:color rgb="A03B6B"/>
      </x:right>
      <x:bottom style="thin">
        <x:color rgb="FFFFFF"/>
      </x:bottom>
    </x:border>
    <x:border>
      <x:left style="medium">
        <x:color rgb="A03B6B"/>
      </x:left>
      <x:right style="thin">
        <x:color rgb="FFFFFF"/>
      </x:right>
      <x:top style="thin">
        <x:color rgb="FFFFFF"/>
      </x:top>
      <x:bottom style="thin">
        <x:color rgb="FFFFFF"/>
      </x:bottom>
    </x:border>
    <x:border>
      <x:left style="thin">
        <x:color rgb="FFFFFF"/>
      </x:left>
      <x:right style="thin">
        <x:color rgb="FFFFFF"/>
      </x:right>
      <x:top style="thin">
        <x:color rgb="FFFFFF"/>
      </x:top>
      <x:bottom style="thin">
        <x:color rgb="FFFFFF"/>
      </x:bottom>
    </x:border>
    <x:border>
      <x:left style="thin">
        <x:color rgb="FFFFFF"/>
      </x:left>
      <x:right style="medium">
        <x:color rgb="A03B6B"/>
      </x:right>
      <x:top style="thin">
        <x:color rgb="FFFFFF"/>
      </x:top>
      <x:bottom style="thin">
        <x:color rgb="FFFFFF"/>
      </x:bottom>
    </x:border>
    <x:border>
      <x:left style="medium">
        <x:color rgb="A03B6B"/>
      </x:left>
      <x:right style="thin">
        <x:color rgb="FFFFFF"/>
      </x:right>
      <x:top style="thin">
        <x:color rgb="FFFFFF"/>
      </x:top>
      <x:bottom style="medium">
        <x:color rgb="A03B6B"/>
      </x:bottom>
    </x:border>
    <x:border>
      <x:left style="thin">
        <x:color rgb="FFFFFF"/>
      </x:left>
      <x:right style="thin">
        <x:color rgb="FFFFFF"/>
      </x:right>
      <x:top style="thin">
        <x:color rgb="FFFFFF"/>
      </x:top>
      <x:bottom style="medium">
        <x:color rgb="A03B6B"/>
      </x:bottom>
    </x:border>
    <x:border>
      <x:left style="thin">
        <x:color rgb="FFFFFF"/>
      </x:left>
      <x:right style="medium">
        <x:color rgb="A03B6B"/>
      </x:right>
      <x:top style="thin">
        <x:color rgb="FFFFFF"/>
      </x:top>
      <x:bottom style="medium">
        <x:color rgb="A03B6B"/>
      </x:bottom>
    </x:border>
    <x:border>
      <x:left style="medium">
        <x:color rgb="A03B6B"/>
      </x:left>
      <x:right style="thin">
        <x:color rgb="FFFFFF"/>
      </x:right>
      <x:top style="thin">
        <x:color rgb="FFFFFF"/>
      </x:top>
    </x:border>
    <x:border>
      <x:left style="thin">
        <x:color rgb="FFFFFF"/>
      </x:left>
      <x:right style="thin">
        <x:color rgb="FFFFFF"/>
      </x:right>
      <x:top style="thin">
        <x:color rgb="FFFFFF"/>
      </x:top>
    </x:border>
    <x:border>
      <x:left style="thin">
        <x:color rgb="FFFFFF"/>
      </x:left>
      <x:right style="medium">
        <x:color rgb="A03B6B"/>
      </x:right>
      <x:top style="thin">
        <x:color rgb="FFFFFF"/>
      </x:top>
    </x:border>
    <x:border>
      <x:left style="medium">
        <x:color rgb="A03B6B"/>
      </x:left>
      <x:right style="thin">
        <x:color rgb="FFFFFF"/>
      </x:right>
      <x:top style="thin">
        <x:color rgb="FFFFFF"/>
      </x:top>
      <x:bottom style="medium">
        <x:color rgb="FFFFFF"/>
      </x:bottom>
    </x:border>
    <x:border>
      <x:left style="thin">
        <x:color rgb="FFFFFF"/>
      </x:left>
      <x:right style="thin">
        <x:color rgb="FFFFFF"/>
      </x:right>
      <x:top style="thin">
        <x:color rgb="FFFFFF"/>
      </x:top>
      <x:bottom style="medium">
        <x:color rgb="FFFFFF"/>
      </x:bottom>
    </x:border>
    <x:border>
      <x:left style="thin">
        <x:color rgb="FFFFFF"/>
      </x:left>
      <x:right style="medium">
        <x:color rgb="A03B6B"/>
      </x:right>
      <x:top style="thin">
        <x:color rgb="FFFFFF"/>
      </x:top>
      <x:bottom style="medium">
        <x:color rgb="FFFFFF"/>
      </x:bottom>
    </x:border>
    <x:border>
      <x:right style="thin">
        <x:color rgb="FFFFFF"/>
      </x:right>
      <x:bottom style="thin">
        <x:color rgb="FFFFFF"/>
      </x:bottom>
    </x:border>
    <x:border>
      <x:right style="thin">
        <x:color rgb="FFFFFF"/>
      </x:right>
      <x:top style="thin">
        <x:color rgb="FFFFFF"/>
      </x:top>
      <x:bottom style="thin">
        <x:color rgb="FFFFFF"/>
      </x:bottom>
    </x:border>
    <x:border>
      <x:right style="thin">
        <x:color rgb="FFFFFF"/>
      </x:right>
      <x:top style="thin">
        <x:color rgb="FFFFFF"/>
      </x:top>
    </x:border>
    <x:border>
      <x:right style="thin">
        <x:color rgb="FFFFFF"/>
      </x:right>
      <x:top style="thin">
        <x:color rgb="FFFFFF"/>
      </x:top>
      <x:bottom style="medium">
        <x:color rgb="FFFFFF"/>
      </x:bottom>
    </x:border>
    <x:border>
      <x:left style="thin">
        <x:color rgb="D7DEE8"/>
      </x:left>
      <x:top style="thin">
        <x:color rgb="D7DEE8"/>
      </x:top>
    </x:border>
    <x:border>
      <x:left style="thin">
        <x:color rgb="D7DEE8"/>
      </x:left>
    </x:border>
    <x:border>
      <x:left style="thin">
        <x:color rgb="D7DEE8"/>
      </x:left>
      <x:bottom style="thin">
        <x:color rgb="D7DEE8"/>
      </x:bottom>
    </x:border>
    <x:border>
      <x:left style="thin">
        <x:color rgb="D7DEE8"/>
      </x:left>
      <x:right style="thin">
        <x:color rgb="D7DEE8"/>
      </x:right>
      <x:top style="thin">
        <x:color rgb="D7DEE8"/>
      </x:top>
      <x:bottom style="thin">
        <x:color rgb="D7DEE8"/>
      </x:bottom>
    </x:border>
    <x:border>
      <x:right style="thin">
        <x:color rgb="D7DEE8"/>
      </x:right>
      <x:top style="thin">
        <x:color rgb="D7DEE8"/>
      </x:top>
    </x:border>
    <x:border>
      <x:right style="thin">
        <x:color rgb="D7DEE8"/>
      </x:right>
    </x:border>
    <x:border>
      <x:left style="thin">
        <x:color rgb="D7DEE8"/>
      </x:left>
      <x:top style="thin">
        <x:color rgb="D7DEE8"/>
      </x:top>
      <x:bottom style="thin">
        <x:color rgb="D7DEE8"/>
      </x:bottom>
    </x:border>
    <x:border>
      <x:right style="thin">
        <x:color rgb="D7DEE8"/>
      </x:right>
      <x:top style="thin">
        <x:color rgb="D7DEE8"/>
      </x:top>
      <x:bottom style="thin">
        <x:color rgb="D7DEE8"/>
      </x:bottom>
    </x:border>
    <x:border>
      <x:top style="thin">
        <x:color rgb="D7DEE8"/>
      </x:top>
      <x:bottom style="thin">
        <x:color rgb="D7DEE8"/>
      </x:bottom>
    </x:border>
    <x:border>
      <x:left style="thin">
        <x:color rgb="D7DEE8"/>
      </x:left>
      <x:right style="thin">
        <x:color rgb="D7DEE8"/>
      </x:right>
      <x:bottom style="thin">
        <x:color rgb="D7DEE8"/>
      </x:bottom>
    </x:border>
    <x:border>
      <x:left style="thin">
        <x:color rgb="D7DEE8"/>
      </x:left>
      <x:right style="thin">
        <x:color rgb="D7DEE8"/>
      </x:right>
      <x:top style="thin">
        <x:color rgb="D7DEE8"/>
      </x:top>
    </x:border>
    <x:border>
      <x:right style="thin">
        <x:color rgb="D7DEE8"/>
      </x:right>
      <x:bottom style="thin">
        <x:color rgb="D7DEE8"/>
      </x:bottom>
    </x:border>
    <x:border>
      <x:left style="medium">
        <x:color rgb="94A3B8"/>
      </x:left>
      <x:right style="thin">
        <x:color rgb="D7DEE8"/>
      </x:right>
      <x:top style="thin">
        <x:color rgb="D7DEE8"/>
      </x:top>
      <x:bottom style="thin">
        <x:color rgb="D7DEE8"/>
      </x:bottom>
    </x:border>
    <x:border>
      <x:left style="medium">
        <x:color rgb="94A3B8"/>
      </x:left>
      <x:right style="thin">
        <x:color rgb="D7DEE8"/>
      </x:right>
      <x:bottom style="thin">
        <x:color rgb="D7DEE8"/>
      </x:bottom>
    </x:border>
    <x:border>
      <x:left style="medium">
        <x:color rgb="94A3B8"/>
      </x:left>
      <x:right style="thin">
        <x:color rgb="D7DEE8"/>
      </x:right>
      <x:top style="thin">
        <x:color rgb="D7DEE8"/>
      </x:top>
    </x:border>
    <x:border>
      <x:bottom style="thin">
        <x:color rgb="D7DEE8"/>
      </x:bottom>
    </x:border>
    <x:border>
      <x:top style="thin">
        <x:color rgb="D7DEE8"/>
      </x:top>
    </x:border>
    <x:border>
      <x:left style="medium">
        <x:color rgb="B8C6D5"/>
      </x:left>
      <x:right style="thin">
        <x:color rgb="D7DEE8"/>
      </x:right>
      <x:top style="thin">
        <x:color rgb="D7DEE8"/>
      </x:top>
      <x:bottom style="thin">
        <x:color rgb="D7DEE8"/>
      </x:bottom>
    </x:border>
    <x:border>
      <x:left style="medium">
        <x:color rgb="B8C6D5"/>
      </x:left>
      <x:right style="thin">
        <x:color rgb="D7DEE8"/>
      </x:right>
      <x:bottom style="thin">
        <x:color rgb="D7DEE8"/>
      </x:bottom>
    </x:border>
    <x:border>
      <x:left style="medium">
        <x:color rgb="B8C6D5"/>
      </x:left>
      <x:right style="thin">
        <x:color rgb="D7DEE8"/>
      </x:right>
      <x:top style="thin">
        <x:color rgb="D7DEE8"/>
      </x:top>
    </x:border>
    <x:border>
      <x:left style="medium">
        <x:color rgb="B8C6D5"/>
      </x:left>
      <x:right style="medium">
        <x:color rgb="94A3B8"/>
      </x:right>
      <x:top style="thin">
        <x:color rgb="D7DEE8"/>
      </x:top>
      <x:bottom style="thin">
        <x:color rgb="D7DEE8"/>
      </x:bottom>
    </x:border>
    <x:border>
      <x:left style="medium">
        <x:color rgb="B8C6D5"/>
      </x:left>
      <x:right style="medium">
        <x:color rgb="94A3B8"/>
      </x:right>
      <x:bottom style="thin">
        <x:color rgb="D7DEE8"/>
      </x:bottom>
    </x:border>
    <x:border>
      <x:left style="medium">
        <x:color rgb="B8C6D5"/>
      </x:left>
      <x:right style="medium">
        <x:color rgb="94A3B8"/>
      </x:right>
      <x:top style="thin">
        <x:color rgb="D7DEE8"/>
      </x:top>
    </x:border>
    <x:border>
      <x:left style="medium">
        <x:color rgb="94A3B8"/>
      </x:left>
      <x:right style="thin">
        <x:color rgb="D7DEE8"/>
      </x:right>
    </x:border>
    <x:border>
      <x:left style="medium">
        <x:color rgb="B8C6D5"/>
      </x:left>
      <x:right style="thin">
        <x:color rgb="D7DEE8"/>
      </x:right>
    </x:border>
    <x:border>
      <x:left style="thin">
        <x:color rgb="D7DEE8"/>
      </x:left>
      <x:right style="thin">
        <x:color rgb="D7DEE8"/>
      </x:right>
    </x:border>
    <x:border>
      <x:left style="medium">
        <x:color rgb="B8C6D5"/>
      </x:left>
      <x:right style="medium">
        <x:color rgb="94A3B8"/>
      </x:right>
    </x:border>
    <x:border>
      <x:left style="medium">
        <x:color rgb="94A3B8"/>
      </x:left>
      <x:right style="thin">
        <x:color rgb="D7DEE8"/>
      </x:right>
      <x:top style="thin">
        <x:color rgb="9FB3C8"/>
      </x:top>
      <x:bottom style="thin">
        <x:color rgb="9FB3C8"/>
      </x:bottom>
    </x:border>
    <x:border>
      <x:top style="thin">
        <x:color rgb="9FB3C8"/>
      </x:top>
      <x:bottom style="thin">
        <x:color rgb="9FB3C8"/>
      </x:bottom>
    </x:border>
    <x:border>
      <x:left style="medium">
        <x:color rgb="B8C6D5"/>
      </x:left>
      <x:right style="thin">
        <x:color rgb="D7DEE8"/>
      </x:right>
      <x:top style="thin">
        <x:color rgb="9FB3C8"/>
      </x:top>
      <x:bottom style="thin">
        <x:color rgb="9FB3C8"/>
      </x:bottom>
    </x:border>
    <x:border>
      <x:right style="thin">
        <x:color rgb="D7DEE8"/>
      </x:right>
      <x:top style="thin">
        <x:color rgb="9FB3C8"/>
      </x:top>
      <x:bottom style="thin">
        <x:color rgb="9FB3C8"/>
      </x:bottom>
    </x:border>
    <x:border>
      <x:left style="thin">
        <x:color rgb="D7DEE8"/>
      </x:left>
      <x:right style="thin">
        <x:color rgb="D7DEE8"/>
      </x:right>
      <x:top style="thin">
        <x:color rgb="9FB3C8"/>
      </x:top>
      <x:bottom style="thin">
        <x:color rgb="9FB3C8"/>
      </x:bottom>
    </x:border>
    <x:border>
      <x:left style="thin">
        <x:color rgb="D7DEE8"/>
      </x:left>
      <x:top style="thin">
        <x:color rgb="9FB3C8"/>
      </x:top>
      <x:bottom style="thin">
        <x:color rgb="9FB3C8"/>
      </x:bottom>
    </x:border>
    <x:border>
      <x:left style="medium">
        <x:color rgb="B8C6D5"/>
      </x:left>
      <x:right style="medium">
        <x:color rgb="94A3B8"/>
      </x:right>
      <x:top style="thin">
        <x:color rgb="9FB3C8"/>
      </x:top>
      <x:bottom style="thin">
        <x:color rgb="9FB3C8"/>
      </x:bottom>
    </x:border>
    <x:border>
      <x:right style="medium">
        <x:color rgb="94A3B8"/>
      </x:right>
      <x:top style="thin">
        <x:color rgb="9FB3C8"/>
      </x:top>
      <x:bottom style="thin">
        <x:color rgb="9FB3C8"/>
      </x:bottom>
    </x:border>
    <x:border>
      <x:top style="thin">
        <x:color rgb="D9D9D9"/>
      </x:top>
    </x:border>
    <x:border>
      <x:bottom style="thin">
        <x:color rgb="D9D9D9"/>
      </x:bottom>
    </x:border>
    <x:border>
      <x:left style="thin">
        <x:color rgb="D9D9D9"/>
      </x:left>
      <x:top style="thin">
        <x:color rgb="D9D9D9"/>
      </x:top>
    </x:border>
    <x:border>
      <x:left style="thin">
        <x:color rgb="D9D9D9"/>
      </x:left>
      <x:right style="thin">
        <x:color rgb="D9D9D9"/>
      </x:right>
      <x:top style="thin">
        <x:color rgb="D9D9D9"/>
      </x:top>
    </x:border>
    <x:border>
      <x:left style="thin">
        <x:color rgb="D9D9D9"/>
      </x:left>
      <x:right style="thin">
        <x:color rgb="D9D9D9"/>
      </x:right>
      <x:bottom style="thin">
        <x:color rgb="D9D9D9"/>
      </x:bottom>
    </x:border>
    <x:border>
      <x:left style="thin">
        <x:color rgb="D9D9D9"/>
      </x:left>
      <x:right style="thin">
        <x:color rgb="D9D9D9"/>
      </x:right>
    </x:border>
    <x:border>
      <x:left style="thin">
        <x:color rgb="D9D9D9"/>
      </x:left>
      <x:top style="thin">
        <x:color rgb="D9D9D9"/>
      </x:top>
      <x:bottom style="thin">
        <x:color rgb="D9D9D9"/>
      </x:bottom>
    </x:border>
    <x:border>
      <x:left style="thin">
        <x:color rgb="D9D9D9"/>
      </x:left>
    </x:border>
    <x:border>
      <x:left style="thin">
        <x:color rgb="D9D9D9"/>
      </x:left>
      <x:bottom style="thin">
        <x:color rgb="D9D9D9"/>
      </x:bottom>
    </x:border>
    <x:border>
      <x:left style="thin">
        <x:color rgb="E5E5E5"/>
      </x:left>
    </x:border>
    <x:border>
      <x:right style="thin">
        <x:color rgb="E5E5E5"/>
      </x:right>
    </x:border>
    <x:border>
      <x:top style="thin">
        <x:color rgb="D9D9D9"/>
      </x:top>
      <x:bottom style="thin">
        <x:color rgb="E5E5E5"/>
      </x:bottom>
    </x:border>
    <x:border>
      <x:left style="thin">
        <x:color rgb="E5E5E5"/>
      </x:left>
      <x:top style="thin">
        <x:color rgb="D9D9D9"/>
      </x:top>
      <x:bottom style="thin">
        <x:color rgb="E5E5E5"/>
      </x:bottom>
    </x:border>
    <x:border>
      <x:right style="thin">
        <x:color rgb="E5E5E5"/>
      </x:right>
      <x:top style="thin">
        <x:color rgb="D9D9D9"/>
      </x:top>
      <x:bottom style="thin">
        <x:color rgb="E5E5E5"/>
      </x:bottom>
    </x:border>
    <x:border>
      <x:bottom style="thin">
        <x:color rgb="A6A6A6"/>
      </x:bottom>
    </x:border>
    <x:border>
      <x:left style="thin">
        <x:color rgb="E5E5E5"/>
      </x:left>
      <x:bottom style="thin">
        <x:color rgb="A6A6A6"/>
      </x:bottom>
    </x:border>
    <x:border>
      <x:right style="thin">
        <x:color rgb="E5E5E5"/>
      </x:right>
      <x:bottom style="thin">
        <x:color rgb="A6A6A6"/>
      </x:bottom>
    </x:border>
    <x:border>
      <x:left style="thin">
        <x:color rgb="BFBFBF"/>
      </x:left>
    </x:border>
    <x:border>
      <x:top style="thin">
        <x:color rgb="44546A"/>
      </x:top>
    </x:border>
    <x:border>
      <x:left style="thin">
        <x:color rgb="D6DCE5"/>
      </x:left>
      <x:right style="thin">
        <x:color rgb="D6DCE5"/>
      </x:right>
      <x:top style="thin">
        <x:color rgb="D6DCE5"/>
      </x:top>
      <x:bottom style="thin">
        <x:color rgb="D6DCE5"/>
      </x:bottom>
    </x:border>
    <x:border>
      <x:top style="thin">
        <x:color rgb="D6DCE5"/>
      </x:top>
      <x:bottom style="thin">
        <x:color rgb="D6DCE5"/>
      </x:bottom>
    </x:border>
    <x:border>
      <x:left style="thin">
        <x:color rgb="D6DCE5"/>
      </x:left>
      <x:top style="thin">
        <x:color rgb="D6DCE5"/>
      </x:top>
      <x:bottom style="thin">
        <x:color rgb="D6DCE5"/>
      </x:bottom>
    </x:border>
    <x:border>
      <x:top style="thin">
        <x:color rgb="D6DCE5"/>
      </x:top>
    </x:border>
    <x:border>
      <x:right style="thin">
        <x:color rgb="D6DCE5"/>
      </x:right>
    </x:border>
    <x:border>
      <x:top style="thin">
        <x:color rgb="233A63"/>
      </x:top>
    </x:border>
    <x:border>
      <x:top style="medium">
        <x:color rgb="233A63"/>
      </x:top>
    </x:border>
    <x:border>
      <x:top style="medium">
        <x:color rgb="233A63"/>
      </x:top>
      <x:bottom style="medium">
        <x:color rgb="233A63"/>
      </x:bottom>
    </x:border>
    <x:border>
      <x:left style="medium">
        <x:color rgb="233A63"/>
      </x:left>
      <x:top style="medium">
        <x:color rgb="233A63"/>
      </x:top>
      <x:bottom style="medium">
        <x:color rgb="233A63"/>
      </x:bottom>
    </x:border>
    <x:border>
      <x:right style="medium">
        <x:color rgb="233A63"/>
      </x:right>
      <x:top style="medium">
        <x:color rgb="233A63"/>
      </x:top>
      <x:bottom style="medium">
        <x:color rgb="233A63"/>
      </x:bottom>
    </x:border>
    <x:border>
      <x:left style="medium">
        <x:color rgb="B8C6D5"/>
      </x:left>
      <x:right style="thin">
        <x:color rgb="D7DEE8"/>
      </x:right>
      <x:top style="medium">
        <x:color rgb="233A63"/>
      </x:top>
    </x:border>
    <x:border>
      <x:right style="thin">
        <x:color rgb="D7DEE8"/>
      </x:right>
      <x:top style="medium">
        <x:color rgb="233A63"/>
      </x:top>
    </x:border>
    <x:border>
      <x:left style="thin">
        <x:color rgb="D7DEE8"/>
      </x:left>
      <x:right style="thin">
        <x:color rgb="D7DEE8"/>
      </x:right>
      <x:top style="medium">
        <x:color rgb="233A63"/>
      </x:top>
    </x:border>
    <x:border>
      <x:left style="thin">
        <x:color rgb="D7DEE8"/>
      </x:left>
      <x:top style="medium">
        <x:color rgb="233A63"/>
      </x:top>
    </x:border>
    <x:border>
      <x:left style="medium">
        <x:color rgb="B8C6D5"/>
      </x:left>
      <x:right style="medium">
        <x:color rgb="94A3B8"/>
      </x:right>
      <x:top style="medium">
        <x:color rgb="233A63"/>
      </x:top>
    </x:border>
    <x:border>
      <x:left style="medium">
        <x:color rgb="B8C6D5"/>
      </x:left>
      <x:right style="thin">
        <x:color rgb="D7DEE8"/>
      </x:right>
      <x:top style="thin">
        <x:color rgb="233A63"/>
      </x:top>
    </x:border>
    <x:border>
      <x:right style="thin">
        <x:color rgb="D7DEE8"/>
      </x:right>
      <x:top style="thin">
        <x:color rgb="233A63"/>
      </x:top>
    </x:border>
    <x:border>
      <x:left style="thin">
        <x:color rgb="D7DEE8"/>
      </x:left>
      <x:right style="thin">
        <x:color rgb="D7DEE8"/>
      </x:right>
      <x:top style="thin">
        <x:color rgb="233A63"/>
      </x:top>
    </x:border>
    <x:border>
      <x:left style="thin">
        <x:color rgb="D7DEE8"/>
      </x:left>
      <x:top style="thin">
        <x:color rgb="233A63"/>
      </x:top>
    </x:border>
    <x:border>
      <x:top style="thin">
        <x:color rgb="233A63"/>
      </x:top>
      <x:bottom style="thin">
        <x:color rgb="D6DCE5"/>
      </x:bottom>
    </x:border>
    <x:border>
      <x:left style="thin">
        <x:color rgb="D6DCE5"/>
      </x:left>
      <x:top style="thin">
        <x:color rgb="233A63"/>
      </x:top>
      <x:bottom style="thin">
        <x:color rgb="D6DCE5"/>
      </x:bottom>
    </x:border>
    <x:border>
      <x:right style="thin">
        <x:color rgb="D6DCE5"/>
      </x:right>
      <x:top style="thin">
        <x:color rgb="233A63"/>
      </x:top>
      <x:bottom style="thin">
        <x:color rgb="D6DCE5"/>
      </x:bottom>
    </x:border>
    <x:border>
      <x:left style="medium">
        <x:color rgb="233A63"/>
      </x:left>
      <x:top style="medium">
        <x:color rgb="233A63"/>
      </x:top>
    </x:border>
    <x:border>
      <x:right style="medium">
        <x:color rgb="233A63"/>
      </x:right>
      <x:top style="medium">
        <x:color rgb="233A63"/>
      </x:top>
    </x:border>
    <x:border>
      <x:right style="thin">
        <x:color rgb="D6DCE5"/>
      </x:right>
      <x:top style="thin">
        <x:color rgb="D6DCE5"/>
      </x:top>
    </x:border>
    <x:border>
      <x:bottom style="thin">
        <x:color rgb="D6DCE5"/>
      </x:bottom>
    </x:border>
    <x:border>
      <x:left style="thin">
        <x:color rgb="D6DCE5"/>
      </x:left>
      <x:bottom style="thin">
        <x:color rgb="D6DCE5"/>
      </x:bottom>
    </x:border>
    <x:border>
      <x:right style="thin">
        <x:color rgb="D6DCE5"/>
      </x:right>
      <x:bottom style="thin">
        <x:color rgb="D6DCE5"/>
      </x:bottom>
    </x:border>
    <x:border>
      <x:left style="thin">
        <x:color rgb="D6DCE5"/>
      </x:left>
      <x:top style="thin">
        <x:color rgb="233A63"/>
      </x:top>
    </x:border>
    <x:border>
      <x:left style="thin">
        <x:color rgb="D6DCE5"/>
      </x:left>
    </x:border>
    <x:border>
      <x:left style="thin">
        <x:color rgb="A03B6B"/>
      </x:left>
      <x:right style="thin">
        <x:color rgb="A03B6B"/>
      </x:right>
      <x:top style="medium">
        <x:color rgb="233A63"/>
      </x:top>
      <x:bottom style="medium">
        <x:color rgb="233A63"/>
      </x:bottom>
    </x:border>
    <x:border>
      <x:left style="medium">
        <x:color rgb="233A63"/>
      </x:left>
      <x:right style="thin">
        <x:color rgb="A03B6B"/>
      </x:right>
      <x:top style="medium">
        <x:color rgb="233A63"/>
      </x:top>
      <x:bottom style="medium">
        <x:color rgb="233A63"/>
      </x:bottom>
    </x:border>
    <x:border>
      <x:left style="thin">
        <x:color rgb="A03B6B"/>
      </x:left>
      <x:right style="medium">
        <x:color rgb="233A63"/>
      </x:right>
      <x:top style="medium">
        <x:color rgb="233A63"/>
      </x:top>
      <x:bottom style="medium">
        <x:color rgb="233A63"/>
      </x:bottom>
    </x:border>
    <x:border>
      <x:left style="thin">
        <x:color rgb="D6DCE5"/>
      </x:left>
      <x:right style="thin">
        <x:color rgb="D7DEE8"/>
      </x:right>
      <x:top style="thin">
        <x:color rgb="233A63"/>
      </x:top>
    </x:border>
    <x:border>
      <x:left style="medium">
        <x:color rgb="B8C6D5"/>
      </x:left>
      <x:right style="thin">
        <x:color rgb="D7DEE8"/>
      </x:right>
      <x:bottom style="medium">
        <x:color rgb="233A63"/>
      </x:bottom>
    </x:border>
    <x:border>
      <x:right style="thin">
        <x:color rgb="D7DEE8"/>
      </x:right>
      <x:bottom style="medium">
        <x:color rgb="233A63"/>
      </x:bottom>
    </x:border>
    <x:border>
      <x:left style="thin">
        <x:color rgb="D7DEE8"/>
      </x:left>
      <x:right style="thin">
        <x:color rgb="D7DEE8"/>
      </x:right>
      <x:bottom style="medium">
        <x:color rgb="233A63"/>
      </x:bottom>
    </x:border>
    <x:border>
      <x:left style="thin">
        <x:color rgb="D7DEE8"/>
      </x:left>
      <x:bottom style="medium">
        <x:color rgb="233A63"/>
      </x:bottom>
    </x:border>
    <x:border>
      <x:right style="thin">
        <x:color rgb="D7DEE8"/>
      </x:right>
      <x:top style="thin">
        <x:color rgb="D6DCE5"/>
      </x:top>
      <x:bottom style="thin">
        <x:color rgb="D6DCE5"/>
      </x:bottom>
    </x:border>
    <x:border>
      <x:left style="thin">
        <x:color rgb="D7DEE8"/>
      </x:left>
      <x:right style="thin">
        <x:color rgb="D7DEE8"/>
      </x:right>
      <x:top style="thin">
        <x:color rgb="D6DCE5"/>
      </x:top>
      <x:bottom style="thin">
        <x:color rgb="D6DCE5"/>
      </x:bottom>
    </x:border>
    <x:border>
      <x:left style="thin">
        <x:color rgb="D6DCE5"/>
      </x:left>
      <x:right style="thin">
        <x:color rgb="D7DEE8"/>
      </x:right>
      <x:top style="thin">
        <x:color rgb="D6DCE5"/>
      </x:top>
      <x:bottom style="thin">
        <x:color rgb="D6DCE5"/>
      </x:bottom>
    </x:border>
    <x:border>
      <x:left style="thin">
        <x:color rgb="D7DEE8"/>
      </x:left>
      <x:top style="thin">
        <x:color rgb="D6DCE5"/>
      </x:top>
      <x:bottom style="thin">
        <x:color rgb="D6DCE5"/>
      </x:bottom>
    </x:border>
    <x:border>
      <x:bottom style="medium">
        <x:color rgb="233A63"/>
      </x:bottom>
    </x:border>
    <x:border>
      <x:left style="medium">
        <x:color rgb="B8C6D5"/>
      </x:left>
      <x:right style="medium">
        <x:color rgb="94A3B8"/>
      </x:right>
      <x:top style="thin">
        <x:color rgb="233A63"/>
      </x:top>
    </x:border>
    <x:border>
      <x:left style="thin">
        <x:color rgb="D6DCE5"/>
      </x:left>
      <x:right style="medium">
        <x:color rgb="94A3B8"/>
      </x:right>
      <x:top style="thin">
        <x:color rgb="D6DCE5"/>
      </x:top>
      <x:bottom style="thin">
        <x:color rgb="D6DCE5"/>
      </x:bottom>
    </x:border>
    <x:border>
      <x:left style="medium">
        <x:color rgb="B8C6D5"/>
      </x:left>
      <x:right style="thin">
        <x:color rgb="FFFFFF"/>
      </x:right>
      <x:bottom style="medium">
        <x:color rgb="233A63"/>
      </x:bottom>
    </x:border>
    <x:border>
      <x:left style="medium">
        <x:color rgb="233A63"/>
      </x:left>
      <x:bottom style="medium">
        <x:color rgb="233A63"/>
      </x:bottom>
    </x:border>
    <x:border>
      <x:left style="thin">
        <x:color rgb="D6DCE5"/>
      </x:left>
      <x:bottom style="thin">
        <x:color rgb="D9D9D9"/>
      </x:bottom>
    </x:border>
    <x:border>
      <x:right style="medium">
        <x:color rgb="233A63"/>
      </x:right>
      <x:bottom style="medium">
        <x:color rgb="233A63"/>
      </x:bottom>
    </x:border>
    <x:border>
      <x:left style="thin">
        <x:color rgb="D6DCE5"/>
      </x:left>
      <x:top style="thin">
        <x:color rgb="E5E5E5"/>
      </x:top>
      <x:bottom style="thin">
        <x:color rgb="D6DCE5"/>
      </x:bottom>
    </x:border>
    <x:border>
      <x:top style="thin">
        <x:color rgb="E5E5E5"/>
      </x:top>
      <x:bottom style="thin">
        <x:color rgb="D6DCE5"/>
      </x:bottom>
    </x:border>
    <x:border>
      <x:right style="thin">
        <x:color rgb="D6DCE5"/>
      </x:right>
      <x:top style="thin">
        <x:color rgb="E5E5E5"/>
      </x:top>
      <x:bottom style="thin">
        <x:color rgb="D6DCE5"/>
      </x:bottom>
    </x:border>
    <x:border>
      <x:left style="thin">
        <x:color rgb="D6DCE5"/>
      </x:left>
      <x:right style="thin">
        <x:color rgb="D6DCE5"/>
      </x:right>
      <x:top style="thin">
        <x:color rgb="233A63"/>
      </x:top>
    </x:border>
    <x:border>
      <x:left style="medium">
        <x:color rgb="233A63"/>
      </x:left>
      <x:right style="thin">
        <x:color rgb="D7DEE8"/>
      </x:right>
      <x:top style="medium">
        <x:color rgb="233A63"/>
      </x:top>
    </x:border>
    <x:border>
      <x:left style="thin">
        <x:color rgb="FFFFFF"/>
      </x:left>
      <x:right style="thin">
        <x:color rgb="D7DEE8"/>
      </x:right>
      <x:bottom style="medium">
        <x:color rgb="233A63"/>
      </x:bottom>
    </x:border>
    <x:border>
      <x:top style="thin">
        <x:color indexed="64"/>
      </x:top>
    </x:border>
    <x:border>
      <x:right style="thin">
        <x:color indexed="64"/>
      </x:right>
      <x:top style="thin">
        <x:color indexed="64"/>
      </x:top>
    </x:border>
    <x:border>
      <x:right style="thin">
        <x:color theme="2"/>
      </x:right>
    </x:border>
    <x:border>
      <x:left style="thin">
        <x:color theme="2"/>
      </x:left>
    </x:border>
    <x:border>
      <x:left style="thin">
        <x:color theme="2"/>
      </x:left>
      <x:right style="thin">
        <x:color rgb="D9D9D9"/>
      </x:right>
    </x:border>
    <x:border>
      <x:left style="thin">
        <x:color indexed="64"/>
      </x:left>
      <x:top style="thin">
        <x:color indexed="64"/>
      </x:top>
    </x:border>
    <x:border>
      <x:left style="thin">
        <x:color indexed="64"/>
      </x:left>
      <x:top style="thin">
        <x:color rgb="D6DCE5"/>
      </x:top>
    </x:border>
    <x:border>
      <x:top style="thin">
        <x:color rgb="D6DCE5"/>
      </x:top>
      <x:bottom style="thin">
        <x:color indexed="64"/>
      </x:bottom>
    </x:border>
    <x:border>
      <x:left style="thin">
        <x:color theme="2" tint="-0.24998"/>
      </x:left>
      <x:right style="thin">
        <x:color theme="2" tint="-0.24998"/>
      </x:right>
      <x:top style="thin">
        <x:color theme="2" tint="-0.24998"/>
      </x:top>
      <x:bottom style="thin">
        <x:color theme="2" tint="-0.24998"/>
      </x:bottom>
    </x:border>
  </x:borders>
  <x:cellStyleXfs count="7">
    <x:xf numFmtId="0" fontId="0" fillId="0" borderId="0"/>
    <x:xf numFmtId="0" fontId="1" fillId="31" borderId="0" applyNumberFormat="0" applyBorder="0" applyAlignment="0" applyProtection="0"/>
    <x:xf numFmtId="0" fontId="1" fillId="32" borderId="0" applyNumberFormat="0" applyBorder="0" applyAlignment="0" applyProtection="0"/>
    <x:xf numFmtId="0" fontId="1" fillId="33" borderId="0" applyNumberFormat="0" applyBorder="0" applyAlignment="0" applyProtection="0"/>
    <x:xf numFmtId="0" fontId="1" fillId="34" borderId="0" applyNumberFormat="0" applyBorder="0" applyAlignment="0" applyProtection="0"/>
    <x:xf numFmtId="0" fontId="1" fillId="35" borderId="0" applyNumberFormat="0" applyBorder="0" applyAlignment="0" applyProtection="0"/>
    <x:xf numFmtId="0" fontId="1" fillId="36" borderId="0" applyNumberFormat="0" applyBorder="0" applyAlignment="0" applyProtection="0"/>
  </x:cellStyleXfs>
  <x:cellXfs count="662">
    <x:xf numFmtId="0" fontId="0" fillId="0" borderId="0" xfId="0"/>
    <x:xf numFmtId="0" fontId="2" fillId="0" borderId="0" xfId="0" applyFont="1"/>
    <x:xf numFmtId="0" fontId="2" fillId="6" borderId="2" xfId="0" applyFont="1" applyFill="1" applyBorder="1" applyAlignment="1">
      <x:alignment horizontal="left" vertical="center"/>
    </x:xf>
    <x:xf numFmtId="1" fontId="2" fillId="6" borderId="2" xfId="0" applyNumberFormat="1" applyFont="1" applyFill="1" applyBorder="1" applyAlignment="1">
      <x:alignment horizontal="center" vertical="center"/>
    </x:xf>
    <x:xf numFmtId="0" fontId="2" fillId="6" borderId="2" xfId="0" applyFont="1" applyFill="1" applyBorder="1" applyAlignment="1">
      <x:alignment horizontal="center" vertical="center"/>
    </x:xf>
    <x:xf numFmtId="164" fontId="2" fillId="6" borderId="3" xfId="0" applyNumberFormat="1" applyFont="1" applyFill="1" applyBorder="1" applyAlignment="1">
      <x:alignment horizontal="center" vertical="center"/>
    </x:xf>
    <x:xf numFmtId="0" fontId="2" fillId="6" borderId="5" xfId="0" applyFont="1" applyFill="1" applyBorder="1" applyAlignment="1">
      <x:alignment horizontal="left" vertical="center"/>
    </x:xf>
    <x:xf numFmtId="1" fontId="2" fillId="6" borderId="5" xfId="0" applyNumberFormat="1" applyFont="1" applyFill="1" applyBorder="1" applyAlignment="1">
      <x:alignment horizontal="center" vertical="center"/>
    </x:xf>
    <x:xf numFmtId="0" fontId="2" fillId="6" borderId="5" xfId="0" applyFont="1" applyFill="1" applyBorder="1" applyAlignment="1">
      <x:alignment horizontal="center" vertical="center"/>
    </x:xf>
    <x:xf numFmtId="164" fontId="2" fillId="6" borderId="6" xfId="0" applyNumberFormat="1" applyFont="1" applyFill="1" applyBorder="1" applyAlignment="1">
      <x:alignment horizontal="center" vertical="center"/>
    </x:xf>
    <x:xf numFmtId="0" fontId="2" fillId="6" borderId="11" xfId="0" applyFont="1" applyFill="1" applyBorder="1" applyAlignment="1">
      <x:alignment horizontal="left" vertical="center"/>
    </x:xf>
    <x:xf numFmtId="1" fontId="2" fillId="6" borderId="11" xfId="0" applyNumberFormat="1" applyFont="1" applyFill="1" applyBorder="1" applyAlignment="1">
      <x:alignment horizontal="center" vertical="center"/>
    </x:xf>
    <x:xf numFmtId="0" fontId="2" fillId="6" borderId="11" xfId="0" applyFont="1" applyFill="1" applyBorder="1" applyAlignment="1">
      <x:alignment horizontal="center" vertical="center"/>
    </x:xf>
    <x:xf numFmtId="164" fontId="2" fillId="6" borderId="12" xfId="0" applyNumberFormat="1" applyFont="1" applyFill="1" applyBorder="1" applyAlignment="1">
      <x:alignment horizontal="center" vertical="center"/>
    </x:xf>
    <x:xf numFmtId="0" fontId="2" fillId="6" borderId="14" xfId="0" applyFont="1" applyFill="1" applyBorder="1" applyAlignment="1">
      <x:alignment horizontal="left" vertical="center"/>
    </x:xf>
    <x:xf numFmtId="1" fontId="2" fillId="6" borderId="14" xfId="0" applyNumberFormat="1" applyFont="1" applyFill="1" applyBorder="1" applyAlignment="1">
      <x:alignment horizontal="center" vertical="center"/>
    </x:xf>
    <x:xf numFmtId="0" fontId="2" fillId="6" borderId="14" xfId="0" applyFont="1" applyFill="1" applyBorder="1" applyAlignment="1">
      <x:alignment horizontal="center" vertical="center"/>
    </x:xf>
    <x:xf numFmtId="164" fontId="2" fillId="6" borderId="15" xfId="0" applyNumberFormat="1" applyFont="1" applyFill="1" applyBorder="1" applyAlignment="1">
      <x:alignment horizontal="center" vertical="center"/>
    </x:xf>
    <x:xf numFmtId="0" fontId="2" fillId="7" borderId="2" xfId="0" applyFont="1" applyFill="1" applyBorder="1" applyAlignment="1">
      <x:alignment horizontal="left" vertical="center"/>
    </x:xf>
    <x:xf numFmtId="1" fontId="2" fillId="7" borderId="2" xfId="0" applyNumberFormat="1" applyFont="1" applyFill="1" applyBorder="1" applyAlignment="1">
      <x:alignment horizontal="center" vertical="center"/>
    </x:xf>
    <x:xf numFmtId="0" fontId="2" fillId="7" borderId="2" xfId="0" applyFont="1" applyFill="1" applyBorder="1" applyAlignment="1">
      <x:alignment horizontal="center" vertical="center"/>
    </x:xf>
    <x:xf numFmtId="164" fontId="2" fillId="7" borderId="3" xfId="0" applyNumberFormat="1" applyFont="1" applyFill="1" applyBorder="1" applyAlignment="1">
      <x:alignment horizontal="center" vertical="center"/>
    </x:xf>
    <x:xf numFmtId="0" fontId="2" fillId="7" borderId="5" xfId="0" applyFont="1" applyFill="1" applyBorder="1" applyAlignment="1">
      <x:alignment horizontal="left" vertical="center"/>
    </x:xf>
    <x:xf numFmtId="1" fontId="2" fillId="7" borderId="5" xfId="0" applyNumberFormat="1" applyFont="1" applyFill="1" applyBorder="1" applyAlignment="1">
      <x:alignment horizontal="center" vertical="center"/>
    </x:xf>
    <x:xf numFmtId="0" fontId="2" fillId="7" borderId="5" xfId="0" applyFont="1" applyFill="1" applyBorder="1" applyAlignment="1">
      <x:alignment horizontal="center" vertical="center"/>
    </x:xf>
    <x:xf numFmtId="164" fontId="2" fillId="7" borderId="6" xfId="0" applyNumberFormat="1" applyFont="1" applyFill="1" applyBorder="1" applyAlignment="1">
      <x:alignment horizontal="center" vertical="center"/>
    </x:xf>
    <x:xf numFmtId="0" fontId="2" fillId="7" borderId="11" xfId="0" applyFont="1" applyFill="1" applyBorder="1" applyAlignment="1">
      <x:alignment horizontal="left" vertical="center"/>
    </x:xf>
    <x:xf numFmtId="1" fontId="2" fillId="7" borderId="11" xfId="0" applyNumberFormat="1" applyFont="1" applyFill="1" applyBorder="1" applyAlignment="1">
      <x:alignment horizontal="center" vertical="center"/>
    </x:xf>
    <x:xf numFmtId="0" fontId="2" fillId="7" borderId="11" xfId="0" applyFont="1" applyFill="1" applyBorder="1" applyAlignment="1">
      <x:alignment horizontal="center" vertical="center"/>
    </x:xf>
    <x:xf numFmtId="164" fontId="2" fillId="7" borderId="12" xfId="0" applyNumberFormat="1" applyFont="1" applyFill="1" applyBorder="1" applyAlignment="1">
      <x:alignment horizontal="center" vertical="center"/>
    </x:xf>
    <x:xf numFmtId="0" fontId="2" fillId="7" borderId="14" xfId="0" applyFont="1" applyFill="1" applyBorder="1" applyAlignment="1">
      <x:alignment horizontal="left" vertical="center"/>
    </x:xf>
    <x:xf numFmtId="1" fontId="2" fillId="7" borderId="14" xfId="0" applyNumberFormat="1" applyFont="1" applyFill="1" applyBorder="1" applyAlignment="1">
      <x:alignment horizontal="center" vertical="center"/>
    </x:xf>
    <x:xf numFmtId="0" fontId="2" fillId="7" borderId="14" xfId="0" applyFont="1" applyFill="1" applyBorder="1" applyAlignment="1">
      <x:alignment horizontal="center" vertical="center"/>
    </x:xf>
    <x:xf numFmtId="164" fontId="2" fillId="7" borderId="15" xfId="0" applyNumberFormat="1" applyFont="1" applyFill="1" applyBorder="1" applyAlignment="1">
      <x:alignment horizontal="center" vertical="center"/>
    </x:xf>
    <x:xf numFmtId="0" fontId="2" fillId="8" borderId="2" xfId="0" applyFont="1" applyFill="1" applyBorder="1" applyAlignment="1">
      <x:alignment horizontal="left" vertical="center"/>
    </x:xf>
    <x:xf numFmtId="1" fontId="2" fillId="8" borderId="2" xfId="0" applyNumberFormat="1" applyFont="1" applyFill="1" applyBorder="1" applyAlignment="1">
      <x:alignment horizontal="center" vertical="center"/>
    </x:xf>
    <x:xf numFmtId="0" fontId="2" fillId="8" borderId="2" xfId="0" applyFont="1" applyFill="1" applyBorder="1" applyAlignment="1">
      <x:alignment horizontal="center" vertical="center"/>
    </x:xf>
    <x:xf numFmtId="164" fontId="2" fillId="8" borderId="3" xfId="0" applyNumberFormat="1" applyFont="1" applyFill="1" applyBorder="1" applyAlignment="1">
      <x:alignment horizontal="center" vertical="center"/>
    </x:xf>
    <x:xf numFmtId="0" fontId="2" fillId="8" borderId="5" xfId="0" applyFont="1" applyFill="1" applyBorder="1" applyAlignment="1">
      <x:alignment horizontal="left" vertical="center"/>
    </x:xf>
    <x:xf numFmtId="1" fontId="2" fillId="8" borderId="5" xfId="0" applyNumberFormat="1" applyFont="1" applyFill="1" applyBorder="1" applyAlignment="1">
      <x:alignment horizontal="center" vertical="center"/>
    </x:xf>
    <x:xf numFmtId="0" fontId="2" fillId="8" borderId="5" xfId="0" applyFont="1" applyFill="1" applyBorder="1" applyAlignment="1">
      <x:alignment horizontal="center" vertical="center"/>
    </x:xf>
    <x:xf numFmtId="164" fontId="2" fillId="8" borderId="6" xfId="0" applyNumberFormat="1" applyFont="1" applyFill="1" applyBorder="1" applyAlignment="1">
      <x:alignment horizontal="center" vertical="center"/>
    </x:xf>
    <x:xf numFmtId="0" fontId="2" fillId="8" borderId="11" xfId="0" applyFont="1" applyFill="1" applyBorder="1" applyAlignment="1">
      <x:alignment horizontal="left" vertical="center"/>
    </x:xf>
    <x:xf numFmtId="1" fontId="2" fillId="8" borderId="11" xfId="0" applyNumberFormat="1" applyFont="1" applyFill="1" applyBorder="1" applyAlignment="1">
      <x:alignment horizontal="center" vertical="center"/>
    </x:xf>
    <x:xf numFmtId="0" fontId="2" fillId="8" borderId="11" xfId="0" applyFont="1" applyFill="1" applyBorder="1" applyAlignment="1">
      <x:alignment horizontal="center" vertical="center"/>
    </x:xf>
    <x:xf numFmtId="164" fontId="2" fillId="8" borderId="12" xfId="0" applyNumberFormat="1" applyFont="1" applyFill="1" applyBorder="1" applyAlignment="1">
      <x:alignment horizontal="center" vertical="center"/>
    </x:xf>
    <x:xf numFmtId="0" fontId="2" fillId="8" borderId="14" xfId="0" applyFont="1" applyFill="1" applyBorder="1" applyAlignment="1">
      <x:alignment horizontal="left" vertical="center"/>
    </x:xf>
    <x:xf numFmtId="1" fontId="2" fillId="8" borderId="14" xfId="0" applyNumberFormat="1" applyFont="1" applyFill="1" applyBorder="1" applyAlignment="1">
      <x:alignment horizontal="center" vertical="center"/>
    </x:xf>
    <x:xf numFmtId="0" fontId="2" fillId="8" borderId="14" xfId="0" applyFont="1" applyFill="1" applyBorder="1" applyAlignment="1">
      <x:alignment horizontal="center" vertical="center"/>
    </x:xf>
    <x:xf numFmtId="164" fontId="2" fillId="8" borderId="15" xfId="0" applyNumberFormat="1" applyFont="1" applyFill="1" applyBorder="1" applyAlignment="1">
      <x:alignment horizontal="center" vertical="center"/>
    </x:xf>
    <x:xf numFmtId="0" fontId="2" fillId="9" borderId="2" xfId="0" applyFont="1" applyFill="1" applyBorder="1" applyAlignment="1">
      <x:alignment horizontal="left" vertical="center"/>
    </x:xf>
    <x:xf numFmtId="1" fontId="2" fillId="9" borderId="2" xfId="0" applyNumberFormat="1" applyFont="1" applyFill="1" applyBorder="1" applyAlignment="1">
      <x:alignment horizontal="center" vertical="center"/>
    </x:xf>
    <x:xf numFmtId="0" fontId="2" fillId="9" borderId="2" xfId="0" applyFont="1" applyFill="1" applyBorder="1" applyAlignment="1">
      <x:alignment horizontal="center" vertical="center"/>
    </x:xf>
    <x:xf numFmtId="164" fontId="2" fillId="9" borderId="3" xfId="0" applyNumberFormat="1" applyFont="1" applyFill="1" applyBorder="1" applyAlignment="1">
      <x:alignment horizontal="center" vertical="center"/>
    </x:xf>
    <x:xf numFmtId="0" fontId="2" fillId="9" borderId="5" xfId="0" applyFont="1" applyFill="1" applyBorder="1" applyAlignment="1">
      <x:alignment horizontal="left" vertical="center"/>
    </x:xf>
    <x:xf numFmtId="1" fontId="2" fillId="9" borderId="5" xfId="0" applyNumberFormat="1" applyFont="1" applyFill="1" applyBorder="1" applyAlignment="1">
      <x:alignment horizontal="center" vertical="center"/>
    </x:xf>
    <x:xf numFmtId="0" fontId="2" fillId="9" borderId="5" xfId="0" applyFont="1" applyFill="1" applyBorder="1" applyAlignment="1">
      <x:alignment horizontal="center" vertical="center"/>
    </x:xf>
    <x:xf numFmtId="164" fontId="2" fillId="9" borderId="6" xfId="0" applyNumberFormat="1" applyFont="1" applyFill="1" applyBorder="1" applyAlignment="1">
      <x:alignment horizontal="center" vertical="center"/>
    </x:xf>
    <x:xf numFmtId="0" fontId="2" fillId="9" borderId="11" xfId="0" applyFont="1" applyFill="1" applyBorder="1" applyAlignment="1">
      <x:alignment horizontal="left" vertical="center"/>
    </x:xf>
    <x:xf numFmtId="1" fontId="2" fillId="9" borderId="11" xfId="0" applyNumberFormat="1" applyFont="1" applyFill="1" applyBorder="1" applyAlignment="1">
      <x:alignment horizontal="center" vertical="center"/>
    </x:xf>
    <x:xf numFmtId="0" fontId="2" fillId="9" borderId="11" xfId="0" applyFont="1" applyFill="1" applyBorder="1" applyAlignment="1">
      <x:alignment horizontal="center" vertical="center"/>
    </x:xf>
    <x:xf numFmtId="164" fontId="2" fillId="9" borderId="12" xfId="0" applyNumberFormat="1" applyFont="1" applyFill="1" applyBorder="1" applyAlignment="1">
      <x:alignment horizontal="center" vertical="center"/>
    </x:xf>
    <x:xf numFmtId="0" fontId="2" fillId="9" borderId="14" xfId="0" applyFont="1" applyFill="1" applyBorder="1" applyAlignment="1">
      <x:alignment horizontal="left" vertical="center"/>
    </x:xf>
    <x:xf numFmtId="1" fontId="2" fillId="9" borderId="14" xfId="0" applyNumberFormat="1" applyFont="1" applyFill="1" applyBorder="1" applyAlignment="1">
      <x:alignment horizontal="center" vertical="center"/>
    </x:xf>
    <x:xf numFmtId="0" fontId="2" fillId="9" borderId="14" xfId="0" applyFont="1" applyFill="1" applyBorder="1" applyAlignment="1">
      <x:alignment horizontal="center" vertical="center"/>
    </x:xf>
    <x:xf numFmtId="164" fontId="2" fillId="9" borderId="15" xfId="0" applyNumberFormat="1" applyFont="1" applyFill="1" applyBorder="1" applyAlignment="1">
      <x:alignment horizontal="center" vertical="center"/>
    </x:xf>
    <x:xf numFmtId="0" fontId="2" fillId="10" borderId="2" xfId="0" applyFont="1" applyFill="1" applyBorder="1" applyAlignment="1">
      <x:alignment horizontal="left" vertical="center"/>
    </x:xf>
    <x:xf numFmtId="1" fontId="2" fillId="10" borderId="2" xfId="0" applyNumberFormat="1" applyFont="1" applyFill="1" applyBorder="1" applyAlignment="1">
      <x:alignment horizontal="center" vertical="center"/>
    </x:xf>
    <x:xf numFmtId="0" fontId="2" fillId="10" borderId="2" xfId="0" applyFont="1" applyFill="1" applyBorder="1" applyAlignment="1">
      <x:alignment horizontal="center" vertical="center"/>
    </x:xf>
    <x:xf numFmtId="164" fontId="2" fillId="10" borderId="3" xfId="0" applyNumberFormat="1" applyFont="1" applyFill="1" applyBorder="1" applyAlignment="1">
      <x:alignment horizontal="center" vertical="center"/>
    </x:xf>
    <x:xf numFmtId="0" fontId="2" fillId="10" borderId="5" xfId="0" applyFont="1" applyFill="1" applyBorder="1" applyAlignment="1">
      <x:alignment horizontal="left" vertical="center"/>
    </x:xf>
    <x:xf numFmtId="1" fontId="2" fillId="10" borderId="5" xfId="0" applyNumberFormat="1" applyFont="1" applyFill="1" applyBorder="1" applyAlignment="1">
      <x:alignment horizontal="center" vertical="center"/>
    </x:xf>
    <x:xf numFmtId="0" fontId="2" fillId="10" borderId="5" xfId="0" applyFont="1" applyFill="1" applyBorder="1" applyAlignment="1">
      <x:alignment horizontal="center" vertical="center"/>
    </x:xf>
    <x:xf numFmtId="164" fontId="2" fillId="10" borderId="6" xfId="0" applyNumberFormat="1" applyFont="1" applyFill="1" applyBorder="1" applyAlignment="1">
      <x:alignment horizontal="center" vertical="center"/>
    </x:xf>
    <x:xf numFmtId="0" fontId="2" fillId="10" borderId="11" xfId="0" applyFont="1" applyFill="1" applyBorder="1" applyAlignment="1">
      <x:alignment horizontal="left" vertical="center"/>
    </x:xf>
    <x:xf numFmtId="1" fontId="2" fillId="10" borderId="11" xfId="0" applyNumberFormat="1" applyFont="1" applyFill="1" applyBorder="1" applyAlignment="1">
      <x:alignment horizontal="center" vertical="center"/>
    </x:xf>
    <x:xf numFmtId="0" fontId="2" fillId="10" borderId="11" xfId="0" applyFont="1" applyFill="1" applyBorder="1" applyAlignment="1">
      <x:alignment horizontal="center" vertical="center"/>
    </x:xf>
    <x:xf numFmtId="164" fontId="2" fillId="10" borderId="12" xfId="0" applyNumberFormat="1" applyFont="1" applyFill="1" applyBorder="1" applyAlignment="1">
      <x:alignment horizontal="center" vertical="center"/>
    </x:xf>
    <x:xf numFmtId="0" fontId="2" fillId="10" borderId="14" xfId="0" applyFont="1" applyFill="1" applyBorder="1" applyAlignment="1">
      <x:alignment horizontal="left" vertical="center"/>
    </x:xf>
    <x:xf numFmtId="1" fontId="2" fillId="10" borderId="14" xfId="0" applyNumberFormat="1" applyFont="1" applyFill="1" applyBorder="1" applyAlignment="1">
      <x:alignment horizontal="center" vertical="center"/>
    </x:xf>
    <x:xf numFmtId="0" fontId="2" fillId="10" borderId="14" xfId="0" applyFont="1" applyFill="1" applyBorder="1" applyAlignment="1">
      <x:alignment horizontal="center" vertical="center"/>
    </x:xf>
    <x:xf numFmtId="164" fontId="2" fillId="10" borderId="15" xfId="0" applyNumberFormat="1" applyFont="1" applyFill="1" applyBorder="1" applyAlignment="1">
      <x:alignment horizontal="center" vertical="center"/>
    </x:xf>
    <x:xf numFmtId="0" fontId="2" fillId="11" borderId="2" xfId="0" applyFont="1" applyFill="1" applyBorder="1" applyAlignment="1">
      <x:alignment horizontal="left" vertical="center"/>
    </x:xf>
    <x:xf numFmtId="1" fontId="2" fillId="11" borderId="2" xfId="0" applyNumberFormat="1" applyFont="1" applyFill="1" applyBorder="1" applyAlignment="1">
      <x:alignment horizontal="center" vertical="center"/>
    </x:xf>
    <x:xf numFmtId="0" fontId="2" fillId="11" borderId="2" xfId="0" applyFont="1" applyFill="1" applyBorder="1" applyAlignment="1">
      <x:alignment horizontal="center" vertical="center"/>
    </x:xf>
    <x:xf numFmtId="164" fontId="2" fillId="11" borderId="3" xfId="0" applyNumberFormat="1" applyFont="1" applyFill="1" applyBorder="1" applyAlignment="1">
      <x:alignment horizontal="center" vertical="center"/>
    </x:xf>
    <x:xf numFmtId="0" fontId="2" fillId="11" borderId="4" xfId="0" applyFont="1" applyFill="1" applyBorder="1" applyAlignment="1">
      <x:alignment horizontal="left" vertical="center"/>
    </x:xf>
    <x:xf numFmtId="0" fontId="2" fillId="11" borderId="5" xfId="0" applyFont="1" applyFill="1" applyBorder="1" applyAlignment="1">
      <x:alignment horizontal="left" vertical="center"/>
    </x:xf>
    <x:xf numFmtId="1" fontId="2" fillId="11" borderId="5" xfId="0" applyNumberFormat="1" applyFont="1" applyFill="1" applyBorder="1" applyAlignment="1">
      <x:alignment horizontal="center" vertical="center"/>
    </x:xf>
    <x:xf numFmtId="0" fontId="2" fillId="11" borderId="5" xfId="0" applyFont="1" applyFill="1" applyBorder="1" applyAlignment="1">
      <x:alignment horizontal="center" vertical="center"/>
    </x:xf>
    <x:xf numFmtId="164" fontId="2" fillId="11" borderId="6" xfId="0" applyNumberFormat="1" applyFont="1" applyFill="1" applyBorder="1" applyAlignment="1">
      <x:alignment horizontal="center" vertical="center"/>
    </x:xf>
    <x:xf numFmtId="0" fontId="2" fillId="11" borderId="10" xfId="0" applyFont="1" applyFill="1" applyBorder="1" applyAlignment="1">
      <x:alignment horizontal="left" vertical="center"/>
    </x:xf>
    <x:xf numFmtId="0" fontId="2" fillId="11" borderId="11" xfId="0" applyFont="1" applyFill="1" applyBorder="1" applyAlignment="1">
      <x:alignment horizontal="left" vertical="center"/>
    </x:xf>
    <x:xf numFmtId="1" fontId="2" fillId="11" borderId="11" xfId="0" applyNumberFormat="1" applyFont="1" applyFill="1" applyBorder="1" applyAlignment="1">
      <x:alignment horizontal="center" vertical="center"/>
    </x:xf>
    <x:xf numFmtId="0" fontId="2" fillId="11" borderId="11" xfId="0" applyFont="1" applyFill="1" applyBorder="1" applyAlignment="1">
      <x:alignment horizontal="center" vertical="center"/>
    </x:xf>
    <x:xf numFmtId="164" fontId="2" fillId="11" borderId="12" xfId="0" applyNumberFormat="1" applyFont="1" applyFill="1" applyBorder="1" applyAlignment="1">
      <x:alignment horizontal="center" vertical="center"/>
    </x:xf>
    <x:xf numFmtId="0" fontId="2" fillId="11" borderId="13" xfId="0" applyFont="1" applyFill="1" applyBorder="1" applyAlignment="1">
      <x:alignment horizontal="left" vertical="center"/>
    </x:xf>
    <x:xf numFmtId="0" fontId="2" fillId="11" borderId="14" xfId="0" applyFont="1" applyFill="1" applyBorder="1" applyAlignment="1">
      <x:alignment horizontal="left" vertical="center"/>
    </x:xf>
    <x:xf numFmtId="1" fontId="2" fillId="11" borderId="14" xfId="0" applyNumberFormat="1" applyFont="1" applyFill="1" applyBorder="1" applyAlignment="1">
      <x:alignment horizontal="center" vertical="center"/>
    </x:xf>
    <x:xf numFmtId="0" fontId="2" fillId="11" borderId="14" xfId="0" applyFont="1" applyFill="1" applyBorder="1" applyAlignment="1">
      <x:alignment horizontal="center" vertical="center"/>
    </x:xf>
    <x:xf numFmtId="164" fontId="2" fillId="11" borderId="15" xfId="0" applyNumberFormat="1" applyFont="1" applyFill="1" applyBorder="1" applyAlignment="1">
      <x:alignment horizontal="center" vertical="center"/>
    </x:xf>
    <x:xf numFmtId="0" fontId="2" fillId="12" borderId="1" xfId="0" applyFont="1" applyFill="1" applyBorder="1" applyAlignment="1">
      <x:alignment horizontal="left" vertical="center"/>
    </x:xf>
    <x:xf numFmtId="0" fontId="2" fillId="12" borderId="2" xfId="0" applyFont="1" applyFill="1" applyBorder="1" applyAlignment="1">
      <x:alignment horizontal="left" vertical="center"/>
    </x:xf>
    <x:xf numFmtId="1" fontId="2" fillId="12" borderId="2" xfId="0" applyNumberFormat="1" applyFont="1" applyFill="1" applyBorder="1" applyAlignment="1">
      <x:alignment horizontal="center" vertical="center"/>
    </x:xf>
    <x:xf numFmtId="0" fontId="2" fillId="12" borderId="2" xfId="0" applyFont="1" applyFill="1" applyBorder="1" applyAlignment="1">
      <x:alignment horizontal="center" vertical="center"/>
    </x:xf>
    <x:xf numFmtId="164" fontId="2" fillId="12" borderId="3" xfId="0" applyNumberFormat="1" applyFont="1" applyFill="1" applyBorder="1" applyAlignment="1">
      <x:alignment horizontal="center" vertical="center"/>
    </x:xf>
    <x:xf numFmtId="0" fontId="2" fillId="12" borderId="4" xfId="0" applyFont="1" applyFill="1" applyBorder="1" applyAlignment="1">
      <x:alignment horizontal="left" vertical="center"/>
    </x:xf>
    <x:xf numFmtId="0" fontId="2" fillId="12" borderId="5" xfId="0" applyFont="1" applyFill="1" applyBorder="1" applyAlignment="1">
      <x:alignment horizontal="left" vertical="center"/>
    </x:xf>
    <x:xf numFmtId="1" fontId="2" fillId="12" borderId="5" xfId="0" applyNumberFormat="1" applyFont="1" applyFill="1" applyBorder="1" applyAlignment="1">
      <x:alignment horizontal="center" vertical="center"/>
    </x:xf>
    <x:xf numFmtId="0" fontId="2" fillId="12" borderId="5" xfId="0" applyFont="1" applyFill="1" applyBorder="1" applyAlignment="1">
      <x:alignment horizontal="center" vertical="center"/>
    </x:xf>
    <x:xf numFmtId="164" fontId="2" fillId="12" borderId="6" xfId="0" applyNumberFormat="1" applyFont="1" applyFill="1" applyBorder="1" applyAlignment="1">
      <x:alignment horizontal="center" vertical="center"/>
    </x:xf>
    <x:xf numFmtId="0" fontId="2" fillId="12" borderId="10" xfId="0" applyFont="1" applyFill="1" applyBorder="1" applyAlignment="1">
      <x:alignment horizontal="left" vertical="center"/>
    </x:xf>
    <x:xf numFmtId="0" fontId="2" fillId="12" borderId="11" xfId="0" applyFont="1" applyFill="1" applyBorder="1" applyAlignment="1">
      <x:alignment horizontal="left" vertical="center"/>
    </x:xf>
    <x:xf numFmtId="1" fontId="2" fillId="12" borderId="11" xfId="0" applyNumberFormat="1" applyFont="1" applyFill="1" applyBorder="1" applyAlignment="1">
      <x:alignment horizontal="center" vertical="center"/>
    </x:xf>
    <x:xf numFmtId="0" fontId="2" fillId="12" borderId="11" xfId="0" applyFont="1" applyFill="1" applyBorder="1" applyAlignment="1">
      <x:alignment horizontal="center" vertical="center"/>
    </x:xf>
    <x:xf numFmtId="164" fontId="2" fillId="12" borderId="12" xfId="0" applyNumberFormat="1" applyFont="1" applyFill="1" applyBorder="1" applyAlignment="1">
      <x:alignment horizontal="center" vertical="center"/>
    </x:xf>
    <x:xf numFmtId="0" fontId="2" fillId="12" borderId="13" xfId="0" applyFont="1" applyFill="1" applyBorder="1" applyAlignment="1">
      <x:alignment horizontal="left" vertical="center"/>
    </x:xf>
    <x:xf numFmtId="0" fontId="2" fillId="12" borderId="14" xfId="0" applyFont="1" applyFill="1" applyBorder="1" applyAlignment="1">
      <x:alignment horizontal="left" vertical="center"/>
    </x:xf>
    <x:xf numFmtId="1" fontId="2" fillId="12" borderId="14" xfId="0" applyNumberFormat="1" applyFont="1" applyFill="1" applyBorder="1" applyAlignment="1">
      <x:alignment horizontal="center" vertical="center"/>
    </x:xf>
    <x:xf numFmtId="0" fontId="2" fillId="12" borderId="14" xfId="0" applyFont="1" applyFill="1" applyBorder="1" applyAlignment="1">
      <x:alignment horizontal="center" vertical="center"/>
    </x:xf>
    <x:xf numFmtId="164" fontId="2" fillId="12" borderId="15" xfId="0" applyNumberFormat="1" applyFont="1" applyFill="1" applyBorder="1" applyAlignment="1">
      <x:alignment horizontal="center" vertical="center"/>
    </x:xf>
    <x:xf numFmtId="0" fontId="2" fillId="13" borderId="1" xfId="0" applyFont="1" applyFill="1" applyBorder="1" applyAlignment="1">
      <x:alignment horizontal="left" vertical="center"/>
    </x:xf>
    <x:xf numFmtId="0" fontId="2" fillId="13" borderId="2" xfId="0" applyFont="1" applyFill="1" applyBorder="1" applyAlignment="1">
      <x:alignment horizontal="left" vertical="center"/>
    </x:xf>
    <x:xf numFmtId="1" fontId="2" fillId="13" borderId="2" xfId="0" applyNumberFormat="1" applyFont="1" applyFill="1" applyBorder="1" applyAlignment="1">
      <x:alignment horizontal="center" vertical="center"/>
    </x:xf>
    <x:xf numFmtId="0" fontId="2" fillId="13" borderId="2" xfId="0" applyFont="1" applyFill="1" applyBorder="1" applyAlignment="1">
      <x:alignment horizontal="center" vertical="center"/>
    </x:xf>
    <x:xf numFmtId="164" fontId="2" fillId="13" borderId="3" xfId="0" applyNumberFormat="1" applyFont="1" applyFill="1" applyBorder="1" applyAlignment="1">
      <x:alignment horizontal="center" vertical="center"/>
    </x:xf>
    <x:xf numFmtId="0" fontId="2" fillId="13" borderId="4" xfId="0" applyFont="1" applyFill="1" applyBorder="1" applyAlignment="1">
      <x:alignment horizontal="left" vertical="center"/>
    </x:xf>
    <x:xf numFmtId="0" fontId="2" fillId="13" borderId="5" xfId="0" applyFont="1" applyFill="1" applyBorder="1" applyAlignment="1">
      <x:alignment horizontal="left" vertical="center"/>
    </x:xf>
    <x:xf numFmtId="1" fontId="2" fillId="13" borderId="5" xfId="0" applyNumberFormat="1" applyFont="1" applyFill="1" applyBorder="1" applyAlignment="1">
      <x:alignment horizontal="center" vertical="center"/>
    </x:xf>
    <x:xf numFmtId="0" fontId="2" fillId="13" borderId="5" xfId="0" applyFont="1" applyFill="1" applyBorder="1" applyAlignment="1">
      <x:alignment horizontal="center" vertical="center"/>
    </x:xf>
    <x:xf numFmtId="164" fontId="2" fillId="13" borderId="6" xfId="0" applyNumberFormat="1" applyFont="1" applyFill="1" applyBorder="1" applyAlignment="1">
      <x:alignment horizontal="center" vertical="center"/>
    </x:xf>
    <x:xf numFmtId="0" fontId="2" fillId="13" borderId="10" xfId="0" applyFont="1" applyFill="1" applyBorder="1" applyAlignment="1">
      <x:alignment horizontal="left" vertical="center"/>
    </x:xf>
    <x:xf numFmtId="0" fontId="2" fillId="13" borderId="11" xfId="0" applyFont="1" applyFill="1" applyBorder="1" applyAlignment="1">
      <x:alignment horizontal="left" vertical="center"/>
    </x:xf>
    <x:xf numFmtId="1" fontId="2" fillId="13" borderId="11" xfId="0" applyNumberFormat="1" applyFont="1" applyFill="1" applyBorder="1" applyAlignment="1">
      <x:alignment horizontal="center" vertical="center"/>
    </x:xf>
    <x:xf numFmtId="0" fontId="2" fillId="13" borderId="11" xfId="0" applyFont="1" applyFill="1" applyBorder="1" applyAlignment="1">
      <x:alignment horizontal="center" vertical="center"/>
    </x:xf>
    <x:xf numFmtId="164" fontId="2" fillId="13" borderId="12" xfId="0" applyNumberFormat="1" applyFont="1" applyFill="1" applyBorder="1" applyAlignment="1">
      <x:alignment horizontal="center" vertical="center"/>
    </x:xf>
    <x:xf numFmtId="0" fontId="2" fillId="13" borderId="13" xfId="0" applyFont="1" applyFill="1" applyBorder="1" applyAlignment="1">
      <x:alignment horizontal="left" vertical="center"/>
    </x:xf>
    <x:xf numFmtId="0" fontId="2" fillId="13" borderId="14" xfId="0" applyFont="1" applyFill="1" applyBorder="1" applyAlignment="1">
      <x:alignment horizontal="left" vertical="center"/>
    </x:xf>
    <x:xf numFmtId="1" fontId="2" fillId="13" borderId="14" xfId="0" applyNumberFormat="1" applyFont="1" applyFill="1" applyBorder="1" applyAlignment="1">
      <x:alignment horizontal="center" vertical="center"/>
    </x:xf>
    <x:xf numFmtId="0" fontId="2" fillId="13" borderId="14" xfId="0" applyFont="1" applyFill="1" applyBorder="1" applyAlignment="1">
      <x:alignment horizontal="center" vertical="center"/>
    </x:xf>
    <x:xf numFmtId="164" fontId="2" fillId="13" borderId="15" xfId="0" applyNumberFormat="1" applyFont="1" applyFill="1" applyBorder="1" applyAlignment="1">
      <x:alignment horizontal="center" vertical="center"/>
    </x:xf>
    <x:xf numFmtId="0" fontId="3" fillId="13" borderId="1" xfId="0" applyFont="1" applyFill="1" applyBorder="1" applyAlignment="1">
      <x:alignment horizontal="left" vertical="center"/>
    </x:xf>
    <x:xf numFmtId="0" fontId="3" fillId="13" borderId="2" xfId="0" applyFont="1" applyFill="1" applyBorder="1" applyAlignment="1">
      <x:alignment horizontal="left" vertical="center"/>
    </x:xf>
    <x:xf numFmtId="49" fontId="3" fillId="13" borderId="2" xfId="0" applyNumberFormat="1" applyFont="1" applyFill="1" applyBorder="1" applyAlignment="1">
      <x:alignment horizontal="center" vertical="center"/>
    </x:xf>
    <x:xf numFmtId="0" fontId="3" fillId="13" borderId="2" xfId="0" applyFont="1" applyFill="1" applyBorder="1" applyAlignment="1">
      <x:alignment horizontal="center" vertical="center"/>
    </x:xf>
    <x:xf numFmtId="0" fontId="3" fillId="13" borderId="3" xfId="0" applyFont="1" applyFill="1" applyBorder="1" applyAlignment="1">
      <x:alignment horizontal="center" vertical="center"/>
    </x:xf>
    <x:xf numFmtId="0" fontId="3" fillId="13" borderId="4" xfId="0" applyFont="1" applyFill="1" applyBorder="1" applyAlignment="1">
      <x:alignment horizontal="left" vertical="center"/>
    </x:xf>
    <x:xf numFmtId="0" fontId="3" fillId="13" borderId="5" xfId="0" applyFont="1" applyFill="1" applyBorder="1" applyAlignment="1">
      <x:alignment horizontal="left" vertical="center"/>
    </x:xf>
    <x:xf numFmtId="49" fontId="3" fillId="13" borderId="5" xfId="0" applyNumberFormat="1" applyFont="1" applyFill="1" applyBorder="1" applyAlignment="1">
      <x:alignment horizontal="center" vertical="center"/>
    </x:xf>
    <x:xf numFmtId="0" fontId="3" fillId="13" borderId="5" xfId="0" applyFont="1" applyFill="1" applyBorder="1" applyAlignment="1">
      <x:alignment horizontal="center" vertical="center"/>
    </x:xf>
    <x:xf numFmtId="0" fontId="3" fillId="13" borderId="6" xfId="0" applyFont="1" applyFill="1" applyBorder="1" applyAlignment="1">
      <x:alignment horizontal="center" vertical="center"/>
    </x:xf>
    <x:xf numFmtId="0" fontId="3" fillId="13" borderId="10" xfId="0" applyFont="1" applyFill="1" applyBorder="1" applyAlignment="1">
      <x:alignment horizontal="left" vertical="center"/>
    </x:xf>
    <x:xf numFmtId="0" fontId="3" fillId="13" borderId="11" xfId="0" applyFont="1" applyFill="1" applyBorder="1" applyAlignment="1">
      <x:alignment horizontal="left" vertical="center"/>
    </x:xf>
    <x:xf numFmtId="49" fontId="3" fillId="13" borderId="11" xfId="0" applyNumberFormat="1" applyFont="1" applyFill="1" applyBorder="1" applyAlignment="1">
      <x:alignment horizontal="center" vertical="center"/>
    </x:xf>
    <x:xf numFmtId="0" fontId="3" fillId="13" borderId="11" xfId="0" applyFont="1" applyFill="1" applyBorder="1" applyAlignment="1">
      <x:alignment horizontal="center" vertical="center"/>
    </x:xf>
    <x:xf numFmtId="0" fontId="3" fillId="13" borderId="12" xfId="0" applyFont="1" applyFill="1" applyBorder="1" applyAlignment="1">
      <x:alignment horizontal="center" vertical="center"/>
    </x:xf>
    <x:xf numFmtId="0" fontId="3" fillId="13" borderId="13" xfId="0" applyFont="1" applyFill="1" applyBorder="1" applyAlignment="1">
      <x:alignment horizontal="left" vertical="center"/>
    </x:xf>
    <x:xf numFmtId="0" fontId="3" fillId="13" borderId="14" xfId="0" applyFont="1" applyFill="1" applyBorder="1" applyAlignment="1">
      <x:alignment horizontal="left" vertical="center"/>
    </x:xf>
    <x:xf numFmtId="49" fontId="3" fillId="13" borderId="14" xfId="0" applyNumberFormat="1" applyFont="1" applyFill="1" applyBorder="1" applyAlignment="1">
      <x:alignment horizontal="center" vertical="center"/>
    </x:xf>
    <x:xf numFmtId="0" fontId="3" fillId="13" borderId="14" xfId="0" applyFont="1" applyFill="1" applyBorder="1" applyAlignment="1">
      <x:alignment horizontal="center" vertical="center"/>
    </x:xf>
    <x:xf numFmtId="0" fontId="3" fillId="13" borderId="15" xfId="0" applyFont="1" applyFill="1" applyBorder="1" applyAlignment="1">
      <x:alignment horizontal="center" vertical="center"/>
    </x:xf>
    <x:xf numFmtId="0" fontId="3" fillId="5" borderId="1" xfId="0" applyFont="1" applyFill="1" applyBorder="1" applyAlignment="1">
      <x:alignment horizontal="left" vertical="center"/>
    </x:xf>
    <x:xf numFmtId="0" fontId="3" fillId="5" borderId="2" xfId="0" applyFont="1" applyFill="1" applyBorder="1" applyAlignment="1">
      <x:alignment horizontal="left" vertical="center"/>
    </x:xf>
    <x:xf numFmtId="49" fontId="3" fillId="5" borderId="2" xfId="0" applyNumberFormat="1" applyFont="1" applyFill="1" applyBorder="1" applyAlignment="1">
      <x:alignment horizontal="center" vertical="center"/>
    </x:xf>
    <x:xf numFmtId="0" fontId="3" fillId="5" borderId="2" xfId="0" applyFont="1" applyFill="1" applyBorder="1" applyAlignment="1">
      <x:alignment horizontal="center" vertical="center"/>
    </x:xf>
    <x:xf numFmtId="0" fontId="3" fillId="5" borderId="3" xfId="0" applyFont="1" applyFill="1" applyBorder="1" applyAlignment="1">
      <x:alignment horizontal="center" vertical="center"/>
    </x:xf>
    <x:xf numFmtId="0" fontId="3" fillId="5" borderId="4" xfId="0" applyFont="1" applyFill="1" applyBorder="1" applyAlignment="1">
      <x:alignment horizontal="left" vertical="center"/>
    </x:xf>
    <x:xf numFmtId="0" fontId="3" fillId="5" borderId="5" xfId="0" applyFont="1" applyFill="1" applyBorder="1" applyAlignment="1">
      <x:alignment horizontal="left" vertical="center"/>
    </x:xf>
    <x:xf numFmtId="49" fontId="3" fillId="5" borderId="5" xfId="0" applyNumberFormat="1" applyFont="1" applyFill="1" applyBorder="1" applyAlignment="1">
      <x:alignment horizontal="center" vertical="center"/>
    </x:xf>
    <x:xf numFmtId="0" fontId="3" fillId="5" borderId="5" xfId="0" applyFont="1" applyFill="1" applyBorder="1" applyAlignment="1">
      <x:alignment horizontal="center" vertical="center"/>
    </x:xf>
    <x:xf numFmtId="0" fontId="3" fillId="5" borderId="6" xfId="0" applyFont="1" applyFill="1" applyBorder="1" applyAlignment="1">
      <x:alignment horizontal="center" vertical="center"/>
    </x:xf>
    <x:xf numFmtId="0" fontId="3" fillId="5" borderId="10" xfId="0" applyFont="1" applyFill="1" applyBorder="1" applyAlignment="1">
      <x:alignment horizontal="left" vertical="center"/>
    </x:xf>
    <x:xf numFmtId="0" fontId="3" fillId="5" borderId="11" xfId="0" applyFont="1" applyFill="1" applyBorder="1" applyAlignment="1">
      <x:alignment horizontal="left" vertical="center"/>
    </x:xf>
    <x:xf numFmtId="49" fontId="3" fillId="5" borderId="11" xfId="0" applyNumberFormat="1" applyFont="1" applyFill="1" applyBorder="1" applyAlignment="1">
      <x:alignment horizontal="center" vertical="center"/>
    </x:xf>
    <x:xf numFmtId="0" fontId="3" fillId="5" borderId="11" xfId="0" applyFont="1" applyFill="1" applyBorder="1" applyAlignment="1">
      <x:alignment horizontal="center" vertical="center"/>
    </x:xf>
    <x:xf numFmtId="0" fontId="3" fillId="5" borderId="12" xfId="0" applyFont="1" applyFill="1" applyBorder="1" applyAlignment="1">
      <x:alignment horizontal="center" vertical="center"/>
    </x:xf>
    <x:xf numFmtId="0" fontId="3" fillId="5" borderId="13" xfId="0" applyFont="1" applyFill="1" applyBorder="1" applyAlignment="1">
      <x:alignment horizontal="left" vertical="center"/>
    </x:xf>
    <x:xf numFmtId="0" fontId="3" fillId="5" borderId="14" xfId="0" applyFont="1" applyFill="1" applyBorder="1" applyAlignment="1">
      <x:alignment horizontal="left" vertical="center"/>
    </x:xf>
    <x:xf numFmtId="49" fontId="3" fillId="5" borderId="14" xfId="0" applyNumberFormat="1" applyFont="1" applyFill="1" applyBorder="1" applyAlignment="1">
      <x:alignment horizontal="center" vertical="center"/>
    </x:xf>
    <x:xf numFmtId="0" fontId="3" fillId="5" borderId="14" xfId="0" applyFont="1" applyFill="1" applyBorder="1" applyAlignment="1">
      <x:alignment horizontal="center" vertical="center"/>
    </x:xf>
    <x:xf numFmtId="0" fontId="3" fillId="5" borderId="15" xfId="0" applyFont="1" applyFill="1" applyBorder="1" applyAlignment="1">
      <x:alignment horizontal="center" vertical="center"/>
    </x:xf>
    <x:xf numFmtId="0" fontId="3" fillId="4" borderId="1" xfId="0" applyFont="1" applyFill="1" applyBorder="1" applyAlignment="1">
      <x:alignment horizontal="left" vertical="center"/>
    </x:xf>
    <x:xf numFmtId="0" fontId="3" fillId="4" borderId="2" xfId="0" applyFont="1" applyFill="1" applyBorder="1" applyAlignment="1">
      <x:alignment horizontal="left" vertical="center"/>
    </x:xf>
    <x:xf numFmtId="49" fontId="3" fillId="4" borderId="2" xfId="0" applyNumberFormat="1" applyFont="1" applyFill="1" applyBorder="1" applyAlignment="1">
      <x:alignment horizontal="center" vertical="center"/>
    </x:xf>
    <x:xf numFmtId="0" fontId="3" fillId="4" borderId="2" xfId="0" applyFont="1" applyFill="1" applyBorder="1" applyAlignment="1">
      <x:alignment horizontal="center" vertical="center"/>
    </x:xf>
    <x:xf numFmtId="0" fontId="3" fillId="4" borderId="3" xfId="0" applyFont="1" applyFill="1" applyBorder="1" applyAlignment="1">
      <x:alignment horizontal="center" vertical="center"/>
    </x:xf>
    <x:xf numFmtId="0" fontId="3" fillId="4" borderId="4" xfId="0" applyFont="1" applyFill="1" applyBorder="1" applyAlignment="1">
      <x:alignment horizontal="left" vertical="center"/>
    </x:xf>
    <x:xf numFmtId="0" fontId="3" fillId="4" borderId="5" xfId="0" applyFont="1" applyFill="1" applyBorder="1" applyAlignment="1">
      <x:alignment horizontal="left" vertical="center"/>
    </x:xf>
    <x:xf numFmtId="49" fontId="3" fillId="4" borderId="5" xfId="0" applyNumberFormat="1" applyFont="1" applyFill="1" applyBorder="1" applyAlignment="1">
      <x:alignment horizontal="center" vertical="center"/>
    </x:xf>
    <x:xf numFmtId="0" fontId="3" fillId="4" borderId="5" xfId="0" applyFont="1" applyFill="1" applyBorder="1" applyAlignment="1">
      <x:alignment horizontal="center" vertical="center"/>
    </x:xf>
    <x:xf numFmtId="0" fontId="3" fillId="4" borderId="6" xfId="0" applyFont="1" applyFill="1" applyBorder="1" applyAlignment="1">
      <x:alignment horizontal="center" vertical="center"/>
    </x:xf>
    <x:xf numFmtId="0" fontId="3" fillId="4" borderId="7" xfId="0" applyFont="1" applyFill="1" applyBorder="1" applyAlignment="1">
      <x:alignment horizontal="left" vertical="center"/>
    </x:xf>
    <x:xf numFmtId="0" fontId="3" fillId="4" borderId="8" xfId="0" applyFont="1" applyFill="1" applyBorder="1" applyAlignment="1">
      <x:alignment horizontal="left" vertical="center"/>
    </x:xf>
    <x:xf numFmtId="49" fontId="3" fillId="4" borderId="8" xfId="0" applyNumberFormat="1" applyFont="1" applyFill="1" applyBorder="1" applyAlignment="1">
      <x:alignment horizontal="center" vertical="center"/>
    </x:xf>
    <x:xf numFmtId="0" fontId="3" fillId="4" borderId="8" xfId="0" applyFont="1" applyFill="1" applyBorder="1" applyAlignment="1">
      <x:alignment horizontal="center" vertical="center"/>
    </x:xf>
    <x:xf numFmtId="0" fontId="3" fillId="4" borderId="9" xfId="0" applyFont="1" applyFill="1" applyBorder="1" applyAlignment="1">
      <x:alignment horizontal="center" vertical="center"/>
    </x:xf>
    <x:xf numFmtId="0" fontId="2" fillId="6" borderId="16" xfId="0" applyFont="1" applyFill="1" applyBorder="1" applyAlignment="1">
      <x:alignment horizontal="left" vertical="center"/>
    </x:xf>
    <x:xf numFmtId="0" fontId="2" fillId="6" borderId="17" xfId="0" applyFont="1" applyFill="1" applyBorder="1" applyAlignment="1">
      <x:alignment horizontal="left" vertical="center"/>
    </x:xf>
    <x:xf numFmtId="0" fontId="2" fillId="6" borderId="18" xfId="0" applyFont="1" applyFill="1" applyBorder="1" applyAlignment="1">
      <x:alignment horizontal="left" vertical="center"/>
    </x:xf>
    <x:xf numFmtId="0" fontId="2" fillId="6" borderId="19" xfId="0" applyFont="1" applyFill="1" applyBorder="1" applyAlignment="1">
      <x:alignment horizontal="left" vertical="center"/>
    </x:xf>
    <x:xf numFmtId="0" fontId="2" fillId="7" borderId="16" xfId="0" applyFont="1" applyFill="1" applyBorder="1" applyAlignment="1">
      <x:alignment horizontal="left" vertical="center"/>
    </x:xf>
    <x:xf numFmtId="0" fontId="2" fillId="7" borderId="17" xfId="0" applyFont="1" applyFill="1" applyBorder="1" applyAlignment="1">
      <x:alignment horizontal="left" vertical="center"/>
    </x:xf>
    <x:xf numFmtId="0" fontId="2" fillId="7" borderId="18" xfId="0" applyFont="1" applyFill="1" applyBorder="1" applyAlignment="1">
      <x:alignment horizontal="left" vertical="center"/>
    </x:xf>
    <x:xf numFmtId="0" fontId="2" fillId="7" borderId="19" xfId="0" applyFont="1" applyFill="1" applyBorder="1" applyAlignment="1">
      <x:alignment horizontal="left" vertical="center"/>
    </x:xf>
    <x:xf numFmtId="0" fontId="2" fillId="8" borderId="16" xfId="0" applyFont="1" applyFill="1" applyBorder="1" applyAlignment="1">
      <x:alignment horizontal="left" vertical="center"/>
    </x:xf>
    <x:xf numFmtId="0" fontId="2" fillId="8" borderId="17" xfId="0" applyFont="1" applyFill="1" applyBorder="1" applyAlignment="1">
      <x:alignment horizontal="left" vertical="center"/>
    </x:xf>
    <x:xf numFmtId="0" fontId="2" fillId="8" borderId="18" xfId="0" applyFont="1" applyFill="1" applyBorder="1" applyAlignment="1">
      <x:alignment horizontal="left" vertical="center"/>
    </x:xf>
    <x:xf numFmtId="0" fontId="2" fillId="8" borderId="19" xfId="0" applyFont="1" applyFill="1" applyBorder="1" applyAlignment="1">
      <x:alignment horizontal="left" vertical="center"/>
    </x:xf>
    <x:xf numFmtId="0" fontId="2" fillId="9" borderId="16" xfId="0" applyFont="1" applyFill="1" applyBorder="1" applyAlignment="1">
      <x:alignment horizontal="left" vertical="center"/>
    </x:xf>
    <x:xf numFmtId="0" fontId="2" fillId="9" borderId="17" xfId="0" applyFont="1" applyFill="1" applyBorder="1" applyAlignment="1">
      <x:alignment horizontal="left" vertical="center"/>
    </x:xf>
    <x:xf numFmtId="0" fontId="2" fillId="9" borderId="18" xfId="0" applyFont="1" applyFill="1" applyBorder="1" applyAlignment="1">
      <x:alignment horizontal="left" vertical="center"/>
    </x:xf>
    <x:xf numFmtId="0" fontId="2" fillId="9" borderId="19" xfId="0" applyFont="1" applyFill="1" applyBorder="1" applyAlignment="1">
      <x:alignment horizontal="left" vertical="center"/>
    </x:xf>
    <x:xf numFmtId="0" fontId="2" fillId="10" borderId="16" xfId="0" applyFont="1" applyFill="1" applyBorder="1" applyAlignment="1">
      <x:alignment horizontal="left" vertical="center"/>
    </x:xf>
    <x:xf numFmtId="0" fontId="2" fillId="10" borderId="17" xfId="0" applyFont="1" applyFill="1" applyBorder="1" applyAlignment="1">
      <x:alignment horizontal="left" vertical="center"/>
    </x:xf>
    <x:xf numFmtId="0" fontId="2" fillId="10" borderId="18" xfId="0" applyFont="1" applyFill="1" applyBorder="1" applyAlignment="1">
      <x:alignment horizontal="left" vertical="center"/>
    </x:xf>
    <x:xf numFmtId="0" fontId="2" fillId="10" borderId="19" xfId="0" applyFont="1" applyFill="1" applyBorder="1" applyAlignment="1">
      <x:alignment horizontal="left" vertical="center"/>
    </x:xf>
    <x:xf numFmtId="0" fontId="2" fillId="11" borderId="16" xfId="0" applyFont="1" applyFill="1" applyBorder="1" applyAlignment="1">
      <x:alignment horizontal="left" vertical="center"/>
    </x:xf>
    <x:xf numFmtId="165" fontId="9" fillId="16" borderId="23" xfId="0" applyNumberFormat="1" applyFont="1" applyFill="1" applyBorder="1" applyAlignment="1">
      <x:alignment horizontal="center" vertical="center"/>
    </x:xf>
    <x:xf numFmtId="165" fontId="9" fillId="16" borderId="26" xfId="0" applyNumberFormat="1" applyFont="1" applyFill="1" applyBorder="1" applyAlignment="1">
      <x:alignment horizontal="center" vertical="center"/>
    </x:xf>
    <x:xf numFmtId="0" fontId="9" fillId="16" borderId="45" xfId="0" applyFont="1" applyFill="1" applyBorder="1" applyAlignment="1">
      <x:alignment horizontal="center" vertical="center"/>
    </x:xf>
    <x:xf numFmtId="0" fontId="9" fillId="16" borderId="21" xfId="0" applyFont="1" applyFill="1" applyBorder="1" applyAlignment="1">
      <x:alignment horizontal="center" vertical="center"/>
    </x:xf>
    <x:xf numFmtId="165" fontId="9" fillId="16" borderId="29" xfId="0" applyNumberFormat="1" applyFont="1" applyFill="1" applyBorder="1" applyAlignment="1">
      <x:alignment horizontal="center" vertical="center"/>
    </x:xf>
    <x:xf numFmtId="165" fontId="9" fillId="16" borderId="22" xfId="0" applyNumberFormat="1" applyFont="1" applyFill="1" applyBorder="1" applyAlignment="1">
      <x:alignment horizontal="center" vertical="center"/>
    </x:xf>
    <x:xf numFmtId="165" fontId="5" fillId="17" borderId="38" xfId="0" applyNumberFormat="1" applyFont="1" applyFill="1" applyBorder="1" applyAlignment="1">
      <x:alignment horizontal="center" vertical="center"/>
    </x:xf>
    <x:xf numFmtId="165" fontId="9" fillId="16" borderId="30" xfId="0" applyNumberFormat="1" applyFont="1" applyFill="1" applyBorder="1" applyAlignment="1">
      <x:alignment horizontal="center" vertical="center"/>
    </x:xf>
    <x:xf numFmtId="165" fontId="9" fillId="16" borderId="20" xfId="0" applyNumberFormat="1" applyFont="1" applyFill="1" applyBorder="1" applyAlignment="1">
      <x:alignment horizontal="center" vertical="center"/>
    </x:xf>
    <x:xf numFmtId="165" fontId="9" fillId="16" borderId="45" xfId="0" applyNumberFormat="1" applyFont="1" applyFill="1" applyBorder="1" applyAlignment="1">
      <x:alignment horizontal="center" vertical="center"/>
    </x:xf>
    <x:xf numFmtId="165" fontId="9" fillId="16" borderId="21" xfId="0" applyNumberFormat="1" applyFont="1" applyFill="1" applyBorder="1" applyAlignment="1">
      <x:alignment horizontal="center" vertical="center"/>
    </x:xf>
    <x:xf numFmtId="14" fontId="8" fillId="14" borderId="36" xfId="0" applyNumberFormat="1" applyFont="1" applyFill="1" applyBorder="1" applyAlignment="1">
      <x:alignment horizontal="left" vertical="center" wrapText="1"/>
    </x:xf>
    <x:xf numFmtId="0" fontId="5" fillId="18" borderId="40" xfId="0" applyFont="1" applyFill="1" applyBorder="1" applyAlignment="1">
      <x:alignment horizontal="left" vertical="center" wrapText="1"/>
    </x:xf>
    <x:xf numFmtId="0" fontId="6" fillId="2" borderId="35" xfId="0" applyFont="1" applyFill="1" applyBorder="1" applyAlignment="1">
      <x:alignment horizontal="center" vertical="center" wrapText="1"/>
    </x:xf>
    <x:xf numFmtId="0" fontId="6" fillId="2" borderId="35" xfId="0" applyFont="1" applyFill="1" applyBorder="1" applyAlignment="1">
      <x:alignment horizontal="left" vertical="center" wrapText="1"/>
    </x:xf>
    <x:xf numFmtId="0" fontId="9" fillId="15" borderId="27" xfId="0" applyFont="1" applyFill="1" applyBorder="1" applyAlignment="1">
      <x:alignment horizontal="center" vertical="center"/>
    </x:xf>
    <x:xf numFmtId="0" fontId="9" fillId="15" borderId="37" xfId="0" applyFont="1" applyFill="1" applyBorder="1" applyAlignment="1">
      <x:alignment horizontal="center" vertical="center"/>
    </x:xf>
    <x:xf numFmtId="0" fontId="5" fillId="2" borderId="28" xfId="0" applyFont="1" applyFill="1" applyBorder="1" applyAlignment="1">
      <x:alignment horizontal="left" vertical="center" wrapText="1"/>
    </x:xf>
    <x:xf numFmtId="0" fontId="5" fillId="2" borderId="32" xfId="0" applyFont="1" applyFill="1" applyBorder="1" applyAlignment="1">
      <x:alignment horizontal="left" vertical="center" wrapText="1"/>
    </x:xf>
    <x:xf numFmtId="0" fontId="5" fillId="18" borderId="41" xfId="0" applyFont="1" applyFill="1" applyBorder="1" applyAlignment="1">
      <x:alignment horizontal="left" vertical="center" wrapText="1"/>
    </x:xf>
    <x:xf numFmtId="0" fontId="9" fillId="15" borderId="31" xfId="0" applyFont="1" applyFill="1" applyBorder="1" applyAlignment="1">
      <x:alignment horizontal="center" vertical="center"/>
    </x:xf>
    <x:xf numFmtId="0" fontId="9" fillId="15" borderId="38" xfId="0" applyFont="1" applyFill="1" applyBorder="1" applyAlignment="1">
      <x:alignment horizontal="center" vertical="center"/>
    </x:xf>
    <x:xf numFmtId="0" fontId="8" fillId="2" borderId="35" xfId="0" applyFont="1" applyFill="1" applyBorder="1" applyAlignment="1">
      <x:alignment horizontal="left" vertical="center" wrapText="1"/>
    </x:xf>
    <x:xf numFmtId="0" fontId="5" fillId="2" borderId="33" xfId="0" applyFont="1" applyFill="1" applyBorder="1" applyAlignment="1">
      <x:alignment horizontal="left" vertical="center" wrapText="1"/>
    </x:xf>
    <x:xf numFmtId="0" fontId="10" fillId="19" borderId="54" xfId="0" applyFont="1" applyFill="1" applyBorder="1" applyAlignment="1">
      <x:alignment horizontal="left" vertical="center" wrapText="1"/>
    </x:xf>
    <x:xf numFmtId="0" fontId="10" fillId="19" borderId="52" xfId="0" applyFont="1" applyFill="1" applyBorder="1" applyAlignment="1">
      <x:alignment horizontal="left" vertical="center"/>
    </x:xf>
    <x:xf numFmtId="0" fontId="10" fillId="19" borderId="51" xfId="0" applyFont="1" applyFill="1" applyBorder="1" applyAlignment="1">
      <x:alignment horizontal="left" vertical="center"/>
    </x:xf>
    <x:xf numFmtId="0" fontId="10" fillId="19" borderId="50" xfId="0" applyFont="1" applyFill="1" applyBorder="1" applyAlignment="1">
      <x:alignment horizontal="left" vertical="center"/>
    </x:xf>
    <x:xf numFmtId="0" fontId="10" fillId="19" borderId="49" xfId="0" applyFont="1" applyFill="1" applyBorder="1" applyAlignment="1">
      <x:alignment horizontal="left" vertical="center"/>
    </x:xf>
    <x:xf numFmtId="0" fontId="10" fillId="19" borderId="48" xfId="0" applyFont="1" applyFill="1" applyBorder="1" applyAlignment="1">
      <x:alignment horizontal="left" vertical="center" wrapText="1"/>
    </x:xf>
    <x:xf numFmtId="0" fontId="10" fillId="19" borderId="47" xfId="0" applyFont="1" applyFill="1" applyBorder="1" applyAlignment="1">
      <x:alignment horizontal="left" vertical="center" wrapText="1"/>
    </x:xf>
    <x:xf numFmtId="0" fontId="5" fillId="18" borderId="42" xfId="0" applyFont="1" applyFill="1" applyBorder="1" applyAlignment="1">
      <x:alignment horizontal="left" vertical="center" wrapText="1"/>
    </x:xf>
    <x:xf numFmtId="0" fontId="9" fillId="15" borderId="24" xfId="0" applyFont="1" applyFill="1" applyBorder="1" applyAlignment="1">
      <x:alignment horizontal="center" vertical="center"/>
    </x:xf>
    <x:xf numFmtId="0" fontId="9" fillId="15" borderId="39" xfId="0" applyFont="1" applyFill="1" applyBorder="1" applyAlignment="1">
      <x:alignment horizontal="center" vertical="center"/>
    </x:xf>
    <x:xf numFmtId="0" fontId="5" fillId="2" borderId="36" xfId="0" applyFont="1" applyFill="1" applyBorder="1" applyAlignment="1">
      <x:alignment horizontal="left" vertical="center" wrapText="1"/>
    </x:xf>
    <x:xf numFmtId="0" fontId="5" fillId="2" borderId="34" xfId="0" applyFont="1" applyFill="1" applyBorder="1" applyAlignment="1">
      <x:alignment horizontal="left" vertical="center" wrapText="1"/>
    </x:xf>
    <x:xf numFmtId="0" fontId="8" fillId="2" borderId="28" xfId="0" applyFont="1" applyFill="1" applyBorder="1" applyAlignment="1">
      <x:alignment horizontal="left" vertical="center" wrapText="1"/>
    </x:xf>
    <x:xf numFmtId="0" fontId="5" fillId="2" borderId="35" xfId="0" applyFont="1" applyFill="1" applyBorder="1" applyAlignment="1">
      <x:alignment horizontal="left" vertical="center" wrapText="1"/>
    </x:xf>
    <x:xf numFmtId="0" fontId="5" fillId="2" borderId="35" xfId="0" applyFont="1" applyFill="1" applyBorder="1" applyAlignment="1">
      <x:alignment horizontal="left" vertical="center" wrapText="1"/>
    </x:xf>
    <x:xf numFmtId="0" fontId="10" fillId="19" borderId="53" xfId="0" applyFont="1" applyFill="1" applyBorder="1" applyAlignment="1">
      <x:alignment horizontal="left" vertical="center" wrapText="1"/>
    </x:xf>
    <x:xf numFmtId="0" fontId="8" fillId="14" borderId="35" xfId="0" applyFont="1" applyFill="1" applyBorder="1" applyAlignment="1">
      <x:alignment horizontal="left" vertical="center"/>
    </x:xf>
    <x:xf numFmtId="0" fontId="5" fillId="18" borderId="46" xfId="0" applyFont="1" applyFill="1" applyBorder="1" applyAlignment="1">
      <x:alignment horizontal="left" vertical="center" wrapText="1"/>
    </x:xf>
    <x:xf numFmtId="0" fontId="5" fillId="2" borderId="43" xfId="0" applyFont="1" applyFill="1" applyBorder="1" applyAlignment="1">
      <x:alignment horizontal="left" vertical="center" wrapText="1"/>
    </x:xf>
    <x:xf numFmtId="0" fontId="5" fillId="2" borderId="0" xfId="0" applyFont="1" applyFill="1" applyAlignment="1">
      <x:alignment horizontal="left" vertical="center" wrapText="1"/>
    </x:xf>
    <x:xf numFmtId="0" fontId="9" fillId="15" borderId="44" xfId="0" applyFont="1" applyFill="1" applyBorder="1" applyAlignment="1">
      <x:alignment horizontal="center" vertical="center"/>
    </x:xf>
    <x:xf numFmtId="0" fontId="9" fillId="15" borderId="25" xfId="0" applyFont="1" applyFill="1" applyBorder="1" applyAlignment="1">
      <x:alignment horizontal="center" vertical="center"/>
    </x:xf>
    <x:xf numFmtId="0" fontId="12" fillId="2" borderId="0" xfId="0" applyFont="1" applyFill="1" applyAlignment="1">
      <x:alignment horizontal="left" vertical="top" wrapText="1"/>
    </x:xf>
    <x:xf numFmtId="0" fontId="12" fillId="2" borderId="65" xfId="0" applyFont="1" applyFill="1" applyBorder="1" applyAlignment="1">
      <x:alignment horizontal="left" vertical="top" wrapText="1"/>
    </x:xf>
    <x:xf numFmtId="0" fontId="13" fillId="2" borderId="61" xfId="0" applyFont="1" applyFill="1" applyBorder="1" applyAlignment="1">
      <x:alignment horizontal="left" vertical="top" wrapText="1"/>
    </x:xf>
    <x:xf numFmtId="0" fontId="14" fillId="2" borderId="67" xfId="0" applyFont="1" applyFill="1" applyBorder="1" applyAlignment="1">
      <x:alignment horizontal="left" vertical="top" wrapText="1"/>
    </x:xf>
    <x:xf numFmtId="0" fontId="14" fillId="2" borderId="66" xfId="0" applyFont="1" applyFill="1" applyBorder="1" applyAlignment="1">
      <x:alignment horizontal="left" vertical="top" wrapText="1"/>
    </x:xf>
    <x:xf numFmtId="0" fontId="14" fillId="2" borderId="68" xfId="0" applyFont="1" applyFill="1" applyBorder="1" applyAlignment="1">
      <x:alignment horizontal="left" vertical="top" wrapText="1"/>
    </x:xf>
    <x:xf numFmtId="0" fontId="12" fillId="2" borderId="64" xfId="0" applyFont="1" applyFill="1" applyBorder="1" applyAlignment="1">
      <x:alignment horizontal="left" vertical="top" wrapText="1"/>
    </x:xf>
    <x:xf numFmtId="0" fontId="13" fillId="2" borderId="70" xfId="0" applyFont="1" applyFill="1" applyBorder="1" applyAlignment="1">
      <x:alignment horizontal="left" vertical="top" wrapText="1"/>
    </x:xf>
    <x:xf numFmtId="0" fontId="13" fillId="2" borderId="69" xfId="0" applyFont="1" applyFill="1" applyBorder="1" applyAlignment="1">
      <x:alignment horizontal="left" vertical="top" wrapText="1"/>
    </x:xf>
    <x:xf numFmtId="0" fontId="13" fillId="2" borderId="71" xfId="0" applyFont="1" applyFill="1" applyBorder="1" applyAlignment="1">
      <x:alignment horizontal="left" vertical="top" wrapText="1"/>
    </x:xf>
    <x:xf numFmtId="0" fontId="12" fillId="2" borderId="70" xfId="0" applyFont="1" applyFill="1" applyBorder="1" applyAlignment="1">
      <x:alignment horizontal="left" vertical="top" wrapText="1"/>
    </x:xf>
    <x:xf numFmtId="0" fontId="12" fillId="2" borderId="69" xfId="0" applyFont="1" applyFill="1" applyBorder="1" applyAlignment="1">
      <x:alignment horizontal="left" vertical="top" wrapText="1"/>
    </x:xf>
    <x:xf numFmtId="0" fontId="12" fillId="2" borderId="71" xfId="0" applyFont="1" applyFill="1" applyBorder="1" applyAlignment="1">
      <x:alignment horizontal="left" vertical="top" wrapText="1"/>
    </x:xf>
    <x:xf numFmtId="0" fontId="16" fillId="2" borderId="0" xfId="0" applyFont="1" applyFill="1" applyAlignment="1">
      <x:alignment horizontal="left" vertical="top" wrapText="1"/>
    </x:xf>
    <x:xf numFmtId="0" fontId="16" fillId="20" borderId="0" xfId="0" applyFont="1" applyFill="1" applyAlignment="1">
      <x:alignment horizontal="left" vertical="top" wrapText="1"/>
    </x:xf>
    <x:xf numFmtId="0" fontId="16" fillId="2" borderId="55" xfId="0" applyFont="1" applyFill="1" applyBorder="1" applyAlignment="1">
      <x:alignment horizontal="left" vertical="top" wrapText="1"/>
    </x:xf>
    <x:xf numFmtId="0" fontId="16" fillId="20" borderId="56" xfId="0" applyFont="1" applyFill="1" applyBorder="1" applyAlignment="1">
      <x:alignment horizontal="left" vertical="top" wrapText="1"/>
    </x:xf>
    <x:xf numFmtId="0" fontId="17" fillId="2" borderId="62" xfId="0" applyFont="1" applyFill="1" applyBorder="1" applyAlignment="1">
      <x:alignment horizontal="left" vertical="top" wrapText="1"/>
    </x:xf>
    <x:xf numFmtId="0" fontId="17" fillId="20" borderId="62" xfId="0" applyFont="1" applyFill="1" applyBorder="1" applyAlignment="1">
      <x:alignment horizontal="left" vertical="top" wrapText="1"/>
    </x:xf>
    <x:xf numFmtId="0" fontId="17" fillId="2" borderId="57" xfId="0" applyFont="1" applyFill="1" applyBorder="1" applyAlignment="1">
      <x:alignment horizontal="left" vertical="top" wrapText="1"/>
    </x:xf>
    <x:xf numFmtId="0" fontId="17" fillId="20" borderId="63" xfId="0" applyFont="1" applyFill="1" applyBorder="1" applyAlignment="1">
      <x:alignment horizontal="left" vertical="top" wrapText="1"/>
    </x:xf>
    <x:xf numFmtId="1" fontId="16" fillId="2" borderId="62" xfId="0" applyNumberFormat="1" applyFont="1" applyFill="1" applyBorder="1" applyAlignment="1">
      <x:alignment horizontal="center" vertical="top" wrapText="1"/>
    </x:xf>
    <x:xf numFmtId="164" fontId="16" fillId="2" borderId="60" xfId="0" applyNumberFormat="1" applyFont="1" applyFill="1" applyBorder="1" applyAlignment="1">
      <x:alignment horizontal="center" vertical="top" wrapText="1"/>
    </x:xf>
    <x:xf numFmtId="1" fontId="16" fillId="20" borderId="62" xfId="0" applyNumberFormat="1" applyFont="1" applyFill="1" applyBorder="1" applyAlignment="1">
      <x:alignment horizontal="center" vertical="top" wrapText="1"/>
    </x:xf>
    <x:xf numFmtId="164" fontId="16" fillId="20" borderId="60" xfId="0" applyNumberFormat="1" applyFont="1" applyFill="1" applyBorder="1" applyAlignment="1">
      <x:alignment horizontal="center" vertical="top" wrapText="1"/>
    </x:xf>
    <x:xf numFmtId="1" fontId="16" fillId="2" borderId="57" xfId="0" applyNumberFormat="1" applyFont="1" applyFill="1" applyBorder="1" applyAlignment="1">
      <x:alignment horizontal="center" vertical="top" wrapText="1"/>
    </x:xf>
    <x:xf numFmtId="164" fontId="16" fillId="2" borderId="58" xfId="0" applyNumberFormat="1" applyFont="1" applyFill="1" applyBorder="1" applyAlignment="1">
      <x:alignment horizontal="center" vertical="top" wrapText="1"/>
    </x:xf>
    <x:xf numFmtId="1" fontId="16" fillId="20" borderId="63" xfId="0" applyNumberFormat="1" applyFont="1" applyFill="1" applyBorder="1" applyAlignment="1">
      <x:alignment horizontal="center" vertical="top" wrapText="1"/>
    </x:xf>
    <x:xf numFmtId="164" fontId="16" fillId="20" borderId="59" xfId="0" applyNumberFormat="1" applyFont="1" applyFill="1" applyBorder="1" applyAlignment="1">
      <x:alignment horizontal="center" vertical="top" wrapText="1"/>
    </x:xf>
    <x:xf numFmtId="0" fontId="15" fillId="21" borderId="64" xfId="0" applyFont="1" applyFill="1" applyBorder="1" applyAlignment="1">
      <x:alignment horizontal="left" vertical="top" wrapText="1"/>
    </x:xf>
    <x:xf numFmtId="0" fontId="15" fillId="21" borderId="70" xfId="0" applyFont="1" applyFill="1" applyBorder="1" applyAlignment="1">
      <x:alignment horizontal="left" vertical="top" wrapText="1"/>
    </x:xf>
    <x:xf numFmtId="0" fontId="15" fillId="21" borderId="0" xfId="0" applyFont="1" applyFill="1" applyAlignment="1">
      <x:alignment horizontal="left" vertical="top" wrapText="1"/>
    </x:xf>
    <x:xf numFmtId="0" fontId="17" fillId="21" borderId="0" xfId="0" applyFont="1" applyFill="1" applyAlignment="1">
      <x:alignment horizontal="left" vertical="top" wrapText="1"/>
    </x:xf>
    <x:xf numFmtId="0" fontId="16" fillId="2" borderId="69" xfId="0" applyFont="1" applyFill="1" applyBorder="1" applyAlignment="1">
      <x:alignment horizontal="left" vertical="top" wrapText="1"/>
    </x:xf>
    <x:xf numFmtId="0" fontId="17" fillId="21" borderId="69" xfId="0" applyFont="1" applyFill="1" applyBorder="1" applyAlignment="1">
      <x:alignment horizontal="left" vertical="top" wrapText="1"/>
    </x:xf>
    <x:xf numFmtId="0" fontId="13" fillId="2" borderId="0" xfId="0" applyFont="1" applyFill="1" applyAlignment="1">
      <x:alignment horizontal="left" vertical="top" wrapText="1"/>
    </x:xf>
    <x:xf numFmtId="0" fontId="13" fillId="2" borderId="65" xfId="0" applyFont="1" applyFill="1" applyBorder="1" applyAlignment="1">
      <x:alignment horizontal="left" vertical="top" wrapText="1"/>
    </x:xf>
    <x:xf numFmtId="0" fontId="16" fillId="2" borderId="64" xfId="0" applyFont="1" applyFill="1" applyBorder="1" applyAlignment="1">
      <x:alignment vertical="top" wrapText="1"/>
    </x:xf>
    <x:xf numFmtId="0" fontId="16" fillId="2" borderId="0" xfId="0" applyFont="1" applyFill="1" applyAlignment="1">
      <x:alignment vertical="top" wrapText="1"/>
    </x:xf>
    <x:xf numFmtId="0" fontId="16" fillId="2" borderId="65" xfId="0" applyFont="1" applyFill="1" applyBorder="1" applyAlignment="1">
      <x:alignment vertical="top" wrapText="1"/>
    </x:xf>
    <x:xf numFmtId="49" fontId="9" fillId="15" borderId="37" xfId="0" applyNumberFormat="1" applyFont="1" applyFill="1" applyBorder="1" applyAlignment="1">
      <x:alignment horizontal="center" vertical="center"/>
    </x:xf>
    <x:xf numFmtId="49" fontId="9" fillId="15" borderId="39" xfId="0" applyNumberFormat="1" applyFont="1" applyFill="1" applyBorder="1" applyAlignment="1">
      <x:alignment horizontal="center" vertical="center"/>
    </x:xf>
    <x:xf numFmtId="0" fontId="24" fillId="2" borderId="0" xfId="0" applyFont="1" applyFill="1" applyAlignment="1">
      <x:alignment horizontal="left" vertical="top" wrapText="1"/>
    </x:xf>
    <x:xf numFmtId="0" fontId="18" fillId="22" borderId="60" xfId="0" applyFont="1" applyFill="1" applyBorder="1" applyAlignment="1">
      <x:alignment horizontal="left" vertical="top" wrapText="1"/>
    </x:xf>
    <x:xf numFmtId="0" fontId="15" fillId="21" borderId="69" xfId="0" applyFont="1" applyFill="1" applyBorder="1" applyAlignment="1">
      <x:alignment horizontal="left" vertical="top" wrapText="1"/>
    </x:xf>
    <x:xf numFmtId="0" fontId="23" fillId="25" borderId="102" xfId="0" applyFont="1" applyFill="1" applyBorder="1" applyAlignment="1">
      <x:alignment horizontal="left" vertical="center"/>
    </x:xf>
    <x:xf numFmtId="0" fontId="23" fillId="25" borderId="76" xfId="0" applyFont="1" applyFill="1" applyBorder="1" applyAlignment="1">
      <x:alignment horizontal="left" vertical="center" wrapText="1"/>
    </x:xf>
    <x:xf numFmtId="0" fontId="10" fillId="2" borderId="126" xfId="0" applyFont="1" applyFill="1" applyBorder="1" applyAlignment="1">
      <x:alignment horizontal="left" vertical="center"/>
    </x:xf>
    <x:xf numFmtId="14" fontId="10" fillId="2" borderId="74" xfId="0" applyNumberFormat="1" applyFont="1" applyFill="1" applyBorder="1" applyAlignment="1">
      <x:alignment horizontal="left" vertical="center" wrapText="1"/>
    </x:xf>
    <x:xf numFmtId="0" fontId="23" fillId="24" borderId="76" xfId="0" applyFont="1" applyFill="1" applyBorder="1" applyAlignment="1">
      <x:alignment horizontal="left" vertical="top" wrapText="1"/>
    </x:xf>
    <x:xf numFmtId="0" fontId="10" fillId="2" borderId="74" xfId="0" applyFont="1" applyFill="1" applyBorder="1" applyAlignment="1">
      <x:alignment horizontal="left" vertical="top" wrapText="1"/>
    </x:xf>
    <x:xf numFmtId="166" fontId="10" fillId="2" borderId="74" xfId="0" applyNumberFormat="1" applyFont="1" applyFill="1" applyBorder="1" applyAlignment="1">
      <x:alignment horizontal="left" vertical="top" wrapText="1"/>
    </x:xf>
    <x:xf numFmtId="0" fontId="4" fillId="23" borderId="111" xfId="0" applyFont="1" applyFill="1" applyBorder="1" applyAlignment="1">
      <x:alignment horizontal="center" vertical="center" wrapText="1"/>
    </x:xf>
    <x:xf numFmtId="0" fontId="4" fillId="23" borderId="110" xfId="0" applyFont="1" applyFill="1" applyBorder="1" applyAlignment="1">
      <x:alignment horizontal="center" vertical="center" wrapText="1"/>
    </x:xf>
    <x:xf numFmtId="0" fontId="23" fillId="25" borderId="118" xfId="0" applyFont="1" applyFill="1" applyBorder="1" applyAlignment="1">
      <x:alignment horizontal="center" vertical="center" wrapText="1"/>
    </x:xf>
    <x:xf numFmtId="0" fontId="23" fillId="27" borderId="75" xfId="0" applyFont="1" applyFill="1" applyBorder="1" applyAlignment="1">
      <x:alignment horizontal="center" vertical="center" wrapText="1"/>
    </x:xf>
    <x:xf numFmtId="0" fontId="23" fillId="26" borderId="115" xfId="0" applyFont="1" applyFill="1" applyBorder="1" applyAlignment="1">
      <x:alignment horizontal="center" vertical="center" wrapText="1"/>
    </x:xf>
    <x:xf numFmtId="0" fontId="23" fillId="26" borderId="113" xfId="0" applyFont="1" applyFill="1" applyBorder="1" applyAlignment="1">
      <x:alignment horizontal="center" vertical="center" wrapText="1"/>
    </x:xf>
    <x:xf numFmtId="0" fontId="23" fillId="26" borderId="112" xfId="0" applyFont="1" applyFill="1" applyBorder="1" applyAlignment="1">
      <x:alignment horizontal="center" vertical="center" wrapText="1"/>
    </x:xf>
    <x:xf numFmtId="0" fontId="23" fillId="26" borderId="114" xfId="0" applyFont="1" applyFill="1" applyBorder="1" applyAlignment="1">
      <x:alignment horizontal="center" vertical="center" wrapText="1"/>
    </x:xf>
    <x:xf numFmtId="0" fontId="4" fillId="23" borderId="106" xfId="0" applyFont="1" applyFill="1" applyBorder="1" applyAlignment="1">
      <x:alignment horizontal="center" vertical="center" wrapText="1"/>
    </x:xf>
    <x:xf numFmtId="0" fontId="4" fillId="23" borderId="104" xfId="0" applyFont="1" applyFill="1" applyBorder="1" applyAlignment="1">
      <x:alignment horizontal="center" vertical="center" wrapText="1"/>
    </x:xf>
    <x:xf numFmtId="0" fontId="4" fillId="23" borderId="105" xfId="0" applyFont="1" applyFill="1" applyBorder="1" applyAlignment="1">
      <x:alignment horizontal="center" vertical="center" wrapText="1"/>
    </x:xf>
    <x:xf numFmtId="0" fontId="7" fillId="23" borderId="80" xfId="0" applyFont="1" applyFill="1" applyBorder="1" applyAlignment="1">
      <x:alignment horizontal="left" vertical="center"/>
    </x:xf>
    <x:xf numFmtId="0" fontId="7" fillId="23" borderId="96" xfId="0" applyFont="1" applyFill="1" applyBorder="1" applyAlignment="1">
      <x:alignment horizontal="left" vertical="center"/>
    </x:xf>
    <x:xf numFmtId="0" fontId="4" fillId="23" borderId="83" xfId="0" applyFont="1" applyFill="1" applyBorder="1" applyAlignment="1">
      <x:alignment horizontal="left" vertical="top" wrapText="1"/>
    </x:xf>
    <x:xf numFmtId="0" fontId="4" fillId="23" borderId="81" xfId="0" applyFont="1" applyFill="1" applyBorder="1" applyAlignment="1">
      <x:alignment horizontal="left" vertical="top" wrapText="1"/>
    </x:xf>
    <x:xf numFmtId="0" fontId="4" fillId="23" borderId="82" xfId="0" applyFont="1" applyFill="1" applyBorder="1" applyAlignment="1">
      <x:alignment horizontal="left" vertical="top" wrapText="1"/>
    </x:xf>
    <x:xf numFmtId="0" fontId="4" fillId="23" borderId="122" xfId="0" applyFont="1" applyFill="1" applyBorder="1" applyAlignment="1">
      <x:alignment horizontal="center" vertical="top" wrapText="1"/>
    </x:xf>
    <x:xf numFmtId="0" fontId="4" fillId="23" borderId="116" xfId="0" applyFont="1" applyFill="1" applyBorder="1" applyAlignment="1">
      <x:alignment horizontal="center" vertical="top" wrapText="1"/>
    </x:xf>
    <x:xf numFmtId="0" fontId="4" fillId="23" borderId="120" xfId="0" applyFont="1" applyFill="1" applyBorder="1" applyAlignment="1">
      <x:alignment horizontal="center" vertical="top" wrapText="1"/>
    </x:xf>
    <x:xf numFmtId="0" fontId="24" fillId="2" borderId="125" xfId="0" applyFont="1" applyFill="1" applyBorder="1" applyAlignment="1">
      <x:alignment horizontal="left" vertical="top" wrapText="1"/>
    </x:xf>
    <x:xf numFmtId="0" fontId="24" fillId="2" borderId="124" xfId="0" applyFont="1" applyFill="1" applyBorder="1" applyAlignment="1">
      <x:alignment horizontal="left" vertical="top" wrapText="1"/>
    </x:xf>
    <x:xf numFmtId="0" fontId="24" fillId="2" borderId="123" xfId="0" applyFont="1" applyFill="1" applyBorder="1" applyAlignment="1">
      <x:alignment horizontal="left" vertical="top" wrapText="1"/>
    </x:xf>
    <x:xf numFmtId="0" fontId="23" fillId="24" borderId="100" xfId="0" applyFont="1" applyFill="1" applyBorder="1" applyAlignment="1">
      <x:alignment horizontal="left" vertical="top" wrapText="1"/>
    </x:xf>
    <x:xf numFmtId="0" fontId="24" fillId="2" borderId="78" xfId="0" applyFont="1" applyFill="1" applyBorder="1" applyAlignment="1">
      <x:alignment horizontal="left" vertical="top" wrapText="1"/>
    </x:xf>
    <x:xf numFmtId="0" fontId="24" fillId="2" borderId="103" xfId="0" applyFont="1" applyFill="1" applyBorder="1" applyAlignment="1">
      <x:alignment horizontal="left" vertical="top" wrapText="1"/>
    </x:xf>
    <x:xf numFmtId="0" fontId="23" fillId="24" borderId="121" xfId="0" applyFont="1" applyFill="1" applyBorder="1" applyAlignment="1">
      <x:alignment horizontal="left" vertical="top" wrapText="1"/>
    </x:xf>
    <x:xf numFmtId="0" fontId="23" fillId="24" borderId="103" xfId="0" applyFont="1" applyFill="1" applyBorder="1" applyAlignment="1">
      <x:alignment horizontal="left" vertical="top" wrapText="1"/>
    </x:xf>
    <x:xf numFmtId="0" fontId="24" fillId="2" borderId="98" xfId="0" applyFont="1" applyFill="1" applyBorder="1" applyAlignment="1">
      <x:alignment horizontal="left" vertical="top" wrapText="1"/>
    </x:xf>
    <x:xf numFmtId="0" fontId="24" fillId="2" borderId="77" xfId="0" applyFont="1" applyFill="1" applyBorder="1" applyAlignment="1">
      <x:alignment horizontal="left" vertical="top" wrapText="1"/>
    </x:xf>
    <x:xf numFmtId="0" fontId="22" fillId="25" borderId="95" xfId="0" applyFont="1" applyFill="1" applyBorder="1" applyAlignment="1">
      <x:alignment horizontal="left" vertical="center"/>
    </x:xf>
    <x:xf numFmtId="0" fontId="22" fillId="25" borderId="93" xfId="0" applyFont="1" applyFill="1" applyBorder="1" applyAlignment="1">
      <x:alignment horizontal="left" vertical="center"/>
    </x:xf>
    <x:xf numFmtId="0" fontId="22" fillId="25" borderId="94" xfId="0" applyFont="1" applyFill="1" applyBorder="1" applyAlignment="1">
      <x:alignment horizontal="left" vertical="center"/>
    </x:xf>
    <x:xf numFmtId="0" fontId="7" fillId="23" borderId="97" xfId="0" applyFont="1" applyFill="1" applyBorder="1" applyAlignment="1">
      <x:alignment horizontal="left" vertical="center"/>
    </x:xf>
    <x:xf numFmtId="0" fontId="27" fillId="0" borderId="0" xfId="0" applyFont="1" applyAlignment="1">
      <x:alignment horizontal="justify" vertical="center" wrapText="1"/>
    </x:xf>
    <x:xf numFmtId="0" fontId="28" fillId="0" borderId="0" xfId="0" applyFont="1" applyAlignment="1">
      <x:alignment horizontal="justify" vertical="center" wrapText="1"/>
    </x:xf>
    <x:xf numFmtId="0" fontId="0" fillId="0" borderId="0" xfId="0" applyAlignment="1">
      <x:alignment horizontal="left" wrapText="1"/>
    </x:xf>
    <x:xf numFmtId="0" fontId="26" fillId="0" borderId="0" xfId="0" applyFont="1" applyAlignment="1">
      <x:alignment horizontal="left"/>
    </x:xf>
    <x:xf numFmtId="0" fontId="0" fillId="0" borderId="0" xfId="0" applyAlignment="1">
      <x:alignment horizontal="left"/>
    </x:xf>
    <x:xf numFmtId="0" fontId="26" fillId="0" borderId="0" xfId="0" applyFont="1" applyAlignment="1">
      <x:alignment horizontal="left" wrapText="1"/>
    </x:xf>
    <x:xf numFmtId="0" fontId="25" fillId="0" borderId="0" xfId="0" applyFont="1" applyAlignment="1">
      <x:alignment horizontal="left"/>
    </x:xf>
    <x:xf numFmtId="0" fontId="0" fillId="0" borderId="0" xfId="0" applyAlignment="1">
      <x:alignment horizontal="center" wrapText="1"/>
    </x:xf>
    <x:xf numFmtId="0" fontId="0" fillId="0" borderId="0" xfId="0" applyAlignment="1">
      <x:alignment vertical="center"/>
    </x:xf>
    <x:xf numFmtId="0" fontId="12" fillId="2" borderId="0" xfId="0" applyFont="1" applyFill="1" applyAlignment="1">
      <x:alignment horizontal="left" vertical="center" wrapText="1"/>
    </x:xf>
    <x:xf numFmtId="2" fontId="12" fillId="2" borderId="73" xfId="0" applyNumberFormat="1" applyFont="1" applyFill="1" applyBorder="1" applyAlignment="1">
      <x:alignment horizontal="left" vertical="center" wrapText="1"/>
    </x:xf>
    <x:xf numFmtId="2" fontId="12" fillId="2" borderId="0" xfId="0" applyNumberFormat="1" applyFont="1" applyFill="1" applyAlignment="1">
      <x:alignment horizontal="left" vertical="center" wrapText="1"/>
    </x:xf>
    <x:xf numFmtId="2" fontId="12" fillId="2" borderId="56" xfId="0" applyNumberFormat="1" applyFont="1" applyFill="1" applyBorder="1" applyAlignment="1">
      <x:alignment horizontal="left" vertical="center" wrapText="1"/>
    </x:xf>
    <x:xf numFmtId="0" fontId="12" fillId="2" borderId="132" xfId="0" applyFont="1" applyFill="1" applyBorder="1" applyAlignment="1">
      <x:alignment horizontal="left" vertical="center" wrapText="1"/>
    </x:xf>
    <x:xf numFmtId="0" fontId="0" fillId="0" borderId="0" xfId="0" applyAlignment="1">
      <x:alignment horizontal="center"/>
    </x:xf>
    <x:xf numFmtId="0" fontId="32" fillId="30" borderId="0" xfId="0" applyFont="1" applyFill="1" applyAlignment="1">
      <x:alignment horizontal="left" vertical="center" wrapText="1"/>
    </x:xf>
    <x:xf numFmtId="0" fontId="31" fillId="29" borderId="0" xfId="0" applyFont="1" applyFill="1" applyAlignment="1">
      <x:alignment horizontal="center" vertical="center" wrapText="1"/>
    </x:xf>
    <x:xf numFmtId="0" fontId="31" fillId="29" borderId="129" xfId="0" applyFont="1" applyFill="1" applyBorder="1" applyAlignment="1">
      <x:alignment horizontal="center" vertical="center" wrapText="1"/>
    </x:xf>
    <x:xf numFmtId="0" fontId="31" fillId="29" borderId="130" xfId="0" applyFont="1" applyFill="1" applyBorder="1" applyAlignment="1">
      <x:alignment horizontal="center" vertical="center" wrapText="1"/>
    </x:xf>
    <x:xf numFmtId="0" fontId="31" fillId="29" borderId="134" xfId="0" applyFont="1" applyFill="1" applyBorder="1" applyAlignment="1">
      <x:alignment horizontal="center" vertical="center" wrapText="1"/>
    </x:xf>
    <x:xf numFmtId="0" fontId="31" fillId="29" borderId="73" xfId="0" applyFont="1" applyFill="1" applyBorder="1" applyAlignment="1">
      <x:alignment horizontal="center" vertical="center" wrapText="1"/>
    </x:xf>
    <x:xf numFmtId="0" fontId="32" fillId="30" borderId="73" xfId="0" applyFont="1" applyFill="1" applyBorder="1" applyAlignment="1">
      <x:alignment horizontal="left" vertical="center" wrapText="1"/>
    </x:xf>
    <x:xf numFmtId="0" fontId="32" fillId="30" borderId="133" xfId="0" applyFont="1" applyFill="1" applyBorder="1" applyAlignment="1">
      <x:alignment horizontal="left" vertical="center" wrapText="1"/>
    </x:xf>
    <x:xf numFmtId="2" fontId="32" fillId="30" borderId="0" xfId="0" applyNumberFormat="1" applyFont="1" applyFill="1" applyAlignment="1">
      <x:alignment horizontal="left" vertical="center" wrapText="1"/>
    </x:xf>
    <x:xf numFmtId="0" fontId="29" fillId="37" borderId="0" xfId="0" applyFont="1" applyFill="1" applyAlignment="1">
      <x:alignment horizontal="left" vertical="center" wrapText="1"/>
    </x:xf>
    <x:xf numFmtId="0" fontId="29" fillId="37" borderId="80" xfId="0" applyFont="1" applyFill="1" applyBorder="1" applyAlignment="1">
      <x:alignment horizontal="left" vertical="center" wrapText="1"/>
    </x:xf>
    <x:xf numFmtId="0" fontId="33" fillId="0" borderId="131" xfId="0" applyFont="1" applyBorder="1"/>
    <x:xf numFmtId="0" fontId="33" fillId="0" borderId="0" xfId="0" applyFont="1" applyAlignment="1">
      <x:alignment vertical="center"/>
    </x:xf>
    <x:xf numFmtId="0" fontId="33" fillId="0" borderId="131" xfId="0" applyFont="1" applyBorder="1" applyAlignment="1">
      <x:alignment vertical="center"/>
    </x:xf>
    <x:xf numFmtId="0" fontId="33" fillId="0" borderId="0" xfId="0" applyFont="1"/>
    <x:xf numFmtId="0" fontId="34" fillId="2" borderId="0" xfId="0" applyFont="1" applyFill="1" applyAlignment="1">
      <x:alignment horizontal="center" vertical="center" wrapText="1"/>
    </x:xf>
    <x:xf numFmtId="0" fontId="34" fillId="2" borderId="131" xfId="0" applyFont="1" applyFill="1" applyBorder="1" applyAlignment="1">
      <x:alignment horizontal="center" vertical="center" wrapText="1"/>
    </x:xf>
    <x:xf numFmtId="0" fontId="35" fillId="30" borderId="62" xfId="0" applyFont="1" applyFill="1" applyBorder="1" applyAlignment="1">
      <x:alignment horizontal="center" vertical="center" wrapText="1"/>
    </x:xf>
    <x:xf numFmtId="0" fontId="35" fillId="30" borderId="0" xfId="0" applyFont="1" applyFill="1" applyAlignment="1">
      <x:alignment horizontal="center" vertical="center" wrapText="1"/>
    </x:xf>
    <x:xf numFmtId="0" fontId="35" fillId="30" borderId="131" xfId="0" applyFont="1" applyFill="1" applyBorder="1" applyAlignment="1">
      <x:alignment horizontal="center" vertical="center" wrapText="1"/>
    </x:xf>
    <x:xf numFmtId="0" fontId="26" fillId="32" borderId="136" xfId="2" applyFont="1" applyBorder="1" applyAlignment="1">
      <x:alignment horizontal="center" vertical="center" wrapText="1"/>
    </x:xf>
    <x:xf numFmtId="0" fontId="26" fillId="32" borderId="0" xfId="2" applyFont="1" applyAlignment="1">
      <x:alignment horizontal="center" vertical="center" wrapText="1"/>
    </x:xf>
    <x:xf numFmtId="0" fontId="26" fillId="34" borderId="136" xfId="4" applyFont="1" applyBorder="1" applyAlignment="1">
      <x:alignment horizontal="center" vertical="center" wrapText="1"/>
    </x:xf>
    <x:xf numFmtId="0" fontId="26" fillId="36" borderId="135" xfId="6" applyFont="1" applyBorder="1" applyAlignment="1">
      <x:alignment horizontal="center" vertical="center" wrapText="1"/>
    </x:xf>
    <x:xf numFmtId="0" fontId="26" fillId="36" borderId="0" xfId="6" applyFont="1" applyAlignment="1">
      <x:alignment horizontal="center" vertical="center" wrapText="1"/>
    </x:xf>
    <x:xf numFmtId="0" fontId="26" fillId="36" borderId="77" xfId="6" applyFont="1" applyBorder="1" applyAlignment="1">
      <x:alignment horizontal="center" vertical="center" wrapText="1"/>
    </x:xf>
    <x:xf numFmtId="0" fontId="1" fillId="33" borderId="99" xfId="3" applyBorder="1" applyAlignment="1">
      <x:alignment horizontal="center" vertical="center" wrapText="1"/>
    </x:xf>
    <x:xf numFmtId="0" fontId="32" fillId="30" borderId="132" xfId="0" applyFont="1" applyFill="1" applyBorder="1" applyAlignment="1">
      <x:alignment horizontal="left" vertical="center" wrapText="1"/>
    </x:xf>
    <x:xf numFmtId="0" fontId="30" fillId="28" borderId="137" xfId="0" applyFont="1" applyFill="1" applyBorder="1" applyAlignment="1">
      <x:alignment horizontal="left" vertical="center" wrapText="1"/>
    </x:xf>
    <x:xf numFmtId="0" fontId="11" fillId="28" borderId="137" xfId="0" applyFont="1" applyFill="1" applyBorder="1" applyAlignment="1">
      <x:alignment horizontal="left" vertical="center" wrapText="1"/>
    </x:xf>
    <x:xf numFmtId="0" fontId="31" fillId="29" borderId="137" xfId="0" applyFont="1" applyFill="1" applyBorder="1" applyAlignment="1">
      <x:alignment horizontal="center" vertical="center" wrapText="1"/>
    </x:xf>
    <x:xf numFmtId="0" fontId="32" fillId="30" borderId="137" xfId="0" applyFont="1" applyFill="1" applyBorder="1" applyAlignment="1">
      <x:alignment horizontal="left" vertical="center" wrapText="1"/>
    </x:xf>
    <x:xf numFmtId="0" fontId="12" fillId="2" borderId="137" xfId="0" applyFont="1" applyFill="1" applyBorder="1" applyAlignment="1">
      <x:alignment horizontal="left" vertical="center" wrapText="1"/>
    </x:xf>
    <x:xf numFmtId="0" fontId="12" fillId="2" borderId="137" xfId="0" applyFont="1" applyFill="1" applyBorder="1" applyAlignment="1">
      <x:alignment horizontal="center" vertical="center" wrapText="1"/>
    </x:xf>
    <x:xf numFmtId="2" fontId="12" fillId="2" borderId="137" xfId="0" applyNumberFormat="1" applyFont="1" applyFill="1" applyBorder="1" applyAlignment="1">
      <x:alignment horizontal="center" vertical="center" wrapText="1"/>
    </x:xf>
    <x:xf numFmtId="2" fontId="32" fillId="30" borderId="137" xfId="0" applyNumberFormat="1" applyFont="1" applyFill="1" applyBorder="1" applyAlignment="1">
      <x:alignment horizontal="left" vertical="center" wrapText="1"/>
    </x:xf>
    <x:xf numFmtId="0" fontId="4" fillId="23" borderId="116" xfId="0" applyFont="1" applyFill="1" applyBorder="1" applyAlignment="1">
      <x:alignment horizontal="center" vertical="center" wrapText="1"/>
    </x:xf>
    <x:xf numFmtId="0" fontId="5" fillId="2" borderId="0" xfId="0" applyFont="1" applyFill="1" applyAlignment="1">
      <x:alignment horizontal="center" vertical="center" wrapText="1"/>
    </x:xf>
    <x:xf numFmtId="0" fontId="7" fillId="23" borderId="127" xfId="0" applyFont="1" applyFill="1" applyBorder="1" applyAlignment="1">
      <x:alignment horizontal="center" vertical="center"/>
    </x:xf>
    <x:xf numFmtId="0" fontId="7" fillId="23" borderId="80" xfId="0" applyFont="1" applyFill="1" applyBorder="1" applyAlignment="1">
      <x:alignment horizontal="center" vertical="center"/>
    </x:xf>
    <x:xf numFmtId="0" fontId="7" fillId="23" borderId="81" xfId="0" applyFont="1" applyFill="1" applyBorder="1" applyAlignment="1">
      <x:alignment horizontal="center" vertical="center"/>
    </x:xf>
    <x:xf numFmtId="0" fontId="7" fillId="23" borderId="84" xfId="0" applyFont="1" applyFill="1" applyBorder="1" applyAlignment="1">
      <x:alignment horizontal="center" vertical="center"/>
    </x:xf>
    <x:xf numFmtId="0" fontId="7" fillId="23" borderId="85" xfId="0" applyFont="1" applyFill="1" applyBorder="1" applyAlignment="1">
      <x:alignment horizontal="center" vertical="center"/>
    </x:xf>
    <x:xf numFmtId="0" fontId="7" fillId="23" borderId="86" xfId="0" applyFont="1" applyFill="1" applyBorder="1" applyAlignment="1">
      <x:alignment horizontal="center" vertical="center"/>
    </x:xf>
    <x:xf numFmtId="0" fontId="7" fillId="23" borderId="87" xfId="0" applyFont="1" applyFill="1" applyBorder="1" applyAlignment="1">
      <x:alignment horizontal="center" vertical="center"/>
    </x:xf>
    <x:xf numFmtId="0" fontId="7" fillId="23" borderId="88" xfId="0" applyFont="1" applyFill="1" applyBorder="1" applyAlignment="1">
      <x:alignment horizontal="center" vertical="center"/>
    </x:xf>
    <x:xf numFmtId="0" fontId="22" fillId="25" borderId="107" xfId="0" applyFont="1" applyFill="1" applyBorder="1" applyAlignment="1">
      <x:alignment horizontal="left" vertical="center" wrapText="1"/>
    </x:xf>
    <x:xf numFmtId="0" fontId="22" fillId="25" borderId="90" xfId="0" applyFont="1" applyFill="1" applyBorder="1" applyAlignment="1">
      <x:alignment horizontal="left" vertical="center" wrapText="1"/>
    </x:xf>
    <x:xf numFmtId="0" fontId="22" fillId="25" borderId="91" xfId="0" applyFont="1" applyFill="1" applyBorder="1" applyAlignment="1">
      <x:alignment horizontal="left" vertical="center" wrapText="1"/>
    </x:xf>
    <x:xf numFmtId="0" fontId="22" fillId="25" borderId="92" xfId="0" applyFont="1" applyFill="1" applyBorder="1" applyAlignment="1">
      <x:alignment horizontal="left" vertical="center" wrapText="1"/>
    </x:xf>
    <x:xf numFmtId="0" fontId="22" fillId="25" borderId="89" xfId="0" applyFont="1" applyFill="1" applyBorder="1" applyAlignment="1">
      <x:alignment horizontal="left" vertical="center" wrapText="1"/>
    </x:xf>
    <x:xf numFmtId="0" fontId="22" fillId="25" borderId="79" xfId="0" applyFont="1" applyFill="1" applyBorder="1" applyAlignment="1">
      <x:alignment horizontal="left" vertical="center" wrapText="1"/>
    </x:xf>
    <x:xf numFmtId="0" fontId="22" fillId="25" borderId="117" xfId="0" applyFont="1" applyFill="1" applyBorder="1" applyAlignment="1">
      <x:alignment horizontal="left" vertical="center" wrapText="1"/>
    </x:xf>
    <x:xf numFmtId="0" fontId="23" fillId="27" borderId="114" xfId="0" applyFont="1" applyFill="1" applyBorder="1" applyAlignment="1">
      <x:alignment horizontal="center" vertical="center" wrapText="1"/>
    </x:xf>
    <x:xf numFmtId="0" fontId="23" fillId="27" borderId="75" xfId="0" applyFont="1" applyFill="1" applyBorder="1" applyAlignment="1">
      <x:alignment horizontal="center" vertical="center" wrapText="1"/>
    </x:xf>
    <x:xf numFmtId="0" fontId="4" fillId="23" borderId="119" xfId="0" applyFont="1" applyFill="1" applyBorder="1" applyAlignment="1">
      <x:alignment horizontal="center" vertical="center" wrapText="1"/>
    </x:xf>
    <x:xf numFmtId="0" fontId="5" fillId="18" borderId="46" xfId="0" applyFont="1" applyFill="1" applyBorder="1" applyAlignment="1">
      <x:alignment horizontal="left" vertical="center" wrapText="1"/>
    </x:xf>
    <x:xf numFmtId="0" fontId="4" fillId="23" borderId="128" xfId="0" applyFont="1" applyFill="1" applyBorder="1" applyAlignment="1">
      <x:alignment horizontal="center" vertical="center" wrapText="1"/>
    </x:xf>
    <x:xf numFmtId="0" fontId="5" fillId="2" borderId="43" xfId="0" applyFont="1" applyFill="1" applyBorder="1" applyAlignment="1">
      <x:alignment horizontal="left" vertical="center" wrapText="1"/>
    </x:xf>
    <x:xf numFmtId="0" fontId="5" fillId="2" borderId="0" xfId="0" applyFont="1" applyFill="1" applyAlignment="1">
      <x:alignment horizontal="left" vertical="center" wrapText="1"/>
    </x:xf>
    <x:xf numFmtId="0" fontId="4" fillId="23" borderId="108" xfId="0" applyFont="1" applyFill="1" applyBorder="1" applyAlignment="1">
      <x:alignment horizontal="center" vertical="center" wrapText="1"/>
    </x:xf>
    <x:xf numFmtId="0" fontId="9" fillId="15" borderId="44" xfId="0" applyFont="1" applyFill="1" applyBorder="1" applyAlignment="1">
      <x:alignment horizontal="center" vertical="center"/>
    </x:xf>
    <x:xf numFmtId="0" fontId="5" fillId="17" borderId="44" xfId="0" applyFont="1" applyFill="1" applyBorder="1" applyAlignment="1">
      <x:alignment horizontal="center" vertical="center"/>
    </x:xf>
    <x:xf numFmtId="0" fontId="4" fillId="23" borderId="109" xfId="0" applyFont="1" applyFill="1" applyBorder="1" applyAlignment="1">
      <x:alignment horizontal="center" vertical="center" wrapText="1"/>
    </x:xf>
    <x:xf numFmtId="0" fontId="9" fillId="15" borderId="25" xfId="0" applyFont="1" applyFill="1" applyBorder="1" applyAlignment="1">
      <x:alignment horizontal="center" vertical="center"/>
    </x:xf>
    <x:xf numFmtId="0" fontId="4" fillId="23" borderId="81" xfId="0" applyFont="1" applyFill="1" applyBorder="1" applyAlignment="1">
      <x:alignment horizontal="center" vertical="center" wrapText="1"/>
    </x:xf>
    <x:xf numFmtId="0" fontId="7" fillId="23" borderId="82" xfId="0" applyFont="1" applyFill="1" applyBorder="1" applyAlignment="1">
      <x:alignment horizontal="center" vertical="center"/>
    </x:xf>
    <x:xf numFmtId="0" fontId="7" fillId="23" borderId="81" xfId="0" applyFont="1" applyFill="1" applyBorder="1" applyAlignment="1">
      <x:alignment horizontal="center"/>
    </x:xf>
    <x:xf numFmtId="0" fontId="7" fillId="23" borderId="83" xfId="0" applyFont="1" applyFill="1" applyBorder="1" applyAlignment="1">
      <x:alignment horizontal="center"/>
    </x:xf>
    <x:xf numFmtId="0" fontId="16" fillId="2" borderId="0" xfId="0" applyFont="1" applyFill="1" applyAlignment="1">
      <x:alignment horizontal="left" vertical="top" wrapText="1"/>
    </x:xf>
    <x:xf numFmtId="0" fontId="1" fillId="31" borderId="99" xfId="1" applyBorder="1" applyAlignment="1">
      <x:alignment horizontal="center" vertical="center" wrapText="1"/>
    </x:xf>
    <x:xf numFmtId="0" fontId="1" fillId="35" borderId="100" xfId="5" applyBorder="1" applyAlignment="1">
      <x:alignment horizontal="center" vertical="center" wrapText="1"/>
    </x:xf>
    <x:xf numFmtId="0" fontId="1" fillId="35" borderId="99" xfId="5" applyBorder="1" applyAlignment="1">
      <x:alignment horizontal="center" vertical="center" wrapText="1"/>
    </x:xf>
    <x:xf numFmtId="0" fontId="1" fillId="35" borderId="101" xfId="5" applyBorder="1" applyAlignment="1">
      <x:alignment horizontal="center" vertical="center" wrapText="1"/>
    </x:xf>
    <x:xf numFmtId="0" fontId="29" fillId="3" borderId="137" xfId="0" applyFont="1" applyFill="1" applyBorder="1" applyAlignment="1">
      <x:alignment horizontal="left" vertical="center" wrapText="1"/>
    </x:xf>
    <x:xf numFmtId="0" fontId="12" fillId="2" borderId="72" xfId="0" applyFont="1" applyFill="1" applyBorder="1" applyAlignment="1">
      <x:alignment horizontal="left" vertical="center" wrapText="1"/>
    </x:xf>
    <x:xf numFmtId="0" fontId="12" fillId="2" borderId="0" xfId="0" applyFont="1" applyFill="1" applyAlignment="1">
      <x:alignment horizontal="left" vertical="center" wrapText="1"/>
    </x:xf>
    <x:xf numFmtId="0" fontId="36" fillId="23" borderId="82" xfId="0" applyNumberFormat="1" applyFont="1" applyFill="1" applyBorder="1" applyAlignment="1">
      <x:alignment horizontal="center" vertical="center"/>
    </x:xf>
    <x:xf numFmtId="0" fontId="36" fillId="23" borderId="81" xfId="0" applyNumberFormat="1" applyFont="1" applyFill="1" applyBorder="1" applyAlignment="1">
      <x:alignment horizontal="center"/>
    </x:xf>
    <x:xf numFmtId="0" fontId="36" fillId="23" borderId="83" xfId="0" applyNumberFormat="1" applyFont="1" applyFill="1" applyBorder="1" applyAlignment="1">
      <x:alignment horizontal="center"/>
    </x:xf>
    <x:xf numFmtId="0" fontId="37" fillId="0" borderId="0" xfId="0" applyNumberFormat="1" applyFont="1" applyFill="1" applyBorder="1"/>
    <x:xf numFmtId="0" fontId="38" fillId="23" borderId="105" xfId="0" applyNumberFormat="1" applyFont="1" applyFill="1" applyBorder="1" applyAlignment="1">
      <x:alignment horizontal="center" vertical="center" wrapText="1"/>
    </x:xf>
    <x:xf numFmtId="0" fontId="38" fillId="23" borderId="104" xfId="0" applyNumberFormat="1" applyFont="1" applyFill="1" applyBorder="1" applyAlignment="1">
      <x:alignment horizontal="center" vertical="center" wrapText="1"/>
    </x:xf>
    <x:xf numFmtId="0" fontId="38" fillId="23" borderId="106" xfId="0" applyNumberFormat="1" applyFont="1" applyFill="1" applyBorder="1" applyAlignment="1">
      <x:alignment horizontal="center" vertical="center" wrapText="1"/>
    </x:xf>
    <x:xf numFmtId="0" fontId="37" fillId="6" borderId="16" xfId="0" applyNumberFormat="1" applyFont="1" applyFill="1" applyBorder="1" applyAlignment="1">
      <x:alignment horizontal="left" vertical="center"/>
    </x:xf>
    <x:xf numFmtId="0" fontId="37" fillId="6" borderId="2" xfId="0" applyNumberFormat="1" applyFont="1" applyFill="1" applyBorder="1" applyAlignment="1">
      <x:alignment horizontal="left" vertical="center"/>
    </x:xf>
    <x:xf numFmtId="1" fontId="37" fillId="6" borderId="2" xfId="0" applyNumberFormat="1" applyFont="1" applyFill="1" applyBorder="1" applyAlignment="1">
      <x:alignment horizontal="center" vertical="center"/>
    </x:xf>
    <x:xf numFmtId="0" fontId="37" fillId="6" borderId="2" xfId="0" applyNumberFormat="1" applyFont="1" applyFill="1" applyBorder="1" applyAlignment="1">
      <x:alignment horizontal="center" vertical="center"/>
    </x:xf>
    <x:xf numFmtId="164" fontId="37" fillId="6" borderId="3" xfId="0" applyNumberFormat="1" applyFont="1" applyFill="1" applyBorder="1" applyAlignment="1">
      <x:alignment horizontal="center" vertical="center"/>
    </x:xf>
    <x:xf numFmtId="0" fontId="37" fillId="6" borderId="17" xfId="0" applyNumberFormat="1" applyFont="1" applyFill="1" applyBorder="1" applyAlignment="1">
      <x:alignment horizontal="left" vertical="center"/>
    </x:xf>
    <x:xf numFmtId="0" fontId="37" fillId="6" borderId="5" xfId="0" applyNumberFormat="1" applyFont="1" applyFill="1" applyBorder="1" applyAlignment="1">
      <x:alignment horizontal="left" vertical="center"/>
    </x:xf>
    <x:xf numFmtId="1" fontId="37" fillId="6" borderId="5" xfId="0" applyNumberFormat="1" applyFont="1" applyFill="1" applyBorder="1" applyAlignment="1">
      <x:alignment horizontal="center" vertical="center"/>
    </x:xf>
    <x:xf numFmtId="0" fontId="37" fillId="6" borderId="5" xfId="0" applyNumberFormat="1" applyFont="1" applyFill="1" applyBorder="1" applyAlignment="1">
      <x:alignment horizontal="center" vertical="center"/>
    </x:xf>
    <x:xf numFmtId="164" fontId="37" fillId="6" borderId="6" xfId="0" applyNumberFormat="1" applyFont="1" applyFill="1" applyBorder="1" applyAlignment="1">
      <x:alignment horizontal="center" vertical="center"/>
    </x:xf>
    <x:xf numFmtId="0" fontId="37" fillId="6" borderId="18" xfId="0" applyNumberFormat="1" applyFont="1" applyFill="1" applyBorder="1" applyAlignment="1">
      <x:alignment horizontal="left" vertical="center"/>
    </x:xf>
    <x:xf numFmtId="0" fontId="37" fillId="6" borderId="11" xfId="0" applyNumberFormat="1" applyFont="1" applyFill="1" applyBorder="1" applyAlignment="1">
      <x:alignment horizontal="left" vertical="center"/>
    </x:xf>
    <x:xf numFmtId="1" fontId="37" fillId="6" borderId="11" xfId="0" applyNumberFormat="1" applyFont="1" applyFill="1" applyBorder="1" applyAlignment="1">
      <x:alignment horizontal="center" vertical="center"/>
    </x:xf>
    <x:xf numFmtId="0" fontId="37" fillId="6" borderId="11" xfId="0" applyNumberFormat="1" applyFont="1" applyFill="1" applyBorder="1" applyAlignment="1">
      <x:alignment horizontal="center" vertical="center"/>
    </x:xf>
    <x:xf numFmtId="164" fontId="37" fillId="6" borderId="12" xfId="0" applyNumberFormat="1" applyFont="1" applyFill="1" applyBorder="1" applyAlignment="1">
      <x:alignment horizontal="center" vertical="center"/>
    </x:xf>
    <x:xf numFmtId="0" fontId="37" fillId="6" borderId="19" xfId="0" applyNumberFormat="1" applyFont="1" applyFill="1" applyBorder="1" applyAlignment="1">
      <x:alignment horizontal="left" vertical="center"/>
    </x:xf>
    <x:xf numFmtId="0" fontId="37" fillId="6" borderId="14" xfId="0" applyNumberFormat="1" applyFont="1" applyFill="1" applyBorder="1" applyAlignment="1">
      <x:alignment horizontal="left" vertical="center"/>
    </x:xf>
    <x:xf numFmtId="1" fontId="37" fillId="6" borderId="14" xfId="0" applyNumberFormat="1" applyFont="1" applyFill="1" applyBorder="1" applyAlignment="1">
      <x:alignment horizontal="center" vertical="center"/>
    </x:xf>
    <x:xf numFmtId="0" fontId="37" fillId="6" borderId="14" xfId="0" applyNumberFormat="1" applyFont="1" applyFill="1" applyBorder="1" applyAlignment="1">
      <x:alignment horizontal="center" vertical="center"/>
    </x:xf>
    <x:xf numFmtId="164" fontId="37" fillId="6" borderId="15" xfId="0" applyNumberFormat="1" applyFont="1" applyFill="1" applyBorder="1" applyAlignment="1">
      <x:alignment horizontal="center" vertical="center"/>
    </x:xf>
    <x:xf numFmtId="0" fontId="37" fillId="7" borderId="16" xfId="0" applyNumberFormat="1" applyFont="1" applyFill="1" applyBorder="1" applyAlignment="1">
      <x:alignment horizontal="left" vertical="center"/>
    </x:xf>
    <x:xf numFmtId="0" fontId="37" fillId="7" borderId="2" xfId="0" applyNumberFormat="1" applyFont="1" applyFill="1" applyBorder="1" applyAlignment="1">
      <x:alignment horizontal="left" vertical="center"/>
    </x:xf>
    <x:xf numFmtId="1" fontId="37" fillId="7" borderId="2" xfId="0" applyNumberFormat="1" applyFont="1" applyFill="1" applyBorder="1" applyAlignment="1">
      <x:alignment horizontal="center" vertical="center"/>
    </x:xf>
    <x:xf numFmtId="0" fontId="37" fillId="7" borderId="2" xfId="0" applyNumberFormat="1" applyFont="1" applyFill="1" applyBorder="1" applyAlignment="1">
      <x:alignment horizontal="center" vertical="center"/>
    </x:xf>
    <x:xf numFmtId="164" fontId="37" fillId="7" borderId="3" xfId="0" applyNumberFormat="1" applyFont="1" applyFill="1" applyBorder="1" applyAlignment="1">
      <x:alignment horizontal="center" vertical="center"/>
    </x:xf>
    <x:xf numFmtId="0" fontId="37" fillId="7" borderId="17" xfId="0" applyNumberFormat="1" applyFont="1" applyFill="1" applyBorder="1" applyAlignment="1">
      <x:alignment horizontal="left" vertical="center"/>
    </x:xf>
    <x:xf numFmtId="0" fontId="37" fillId="7" borderId="5" xfId="0" applyNumberFormat="1" applyFont="1" applyFill="1" applyBorder="1" applyAlignment="1">
      <x:alignment horizontal="left" vertical="center"/>
    </x:xf>
    <x:xf numFmtId="1" fontId="37" fillId="7" borderId="5" xfId="0" applyNumberFormat="1" applyFont="1" applyFill="1" applyBorder="1" applyAlignment="1">
      <x:alignment horizontal="center" vertical="center"/>
    </x:xf>
    <x:xf numFmtId="0" fontId="37" fillId="7" borderId="5" xfId="0" applyNumberFormat="1" applyFont="1" applyFill="1" applyBorder="1" applyAlignment="1">
      <x:alignment horizontal="center" vertical="center"/>
    </x:xf>
    <x:xf numFmtId="164" fontId="37" fillId="7" borderId="6" xfId="0" applyNumberFormat="1" applyFont="1" applyFill="1" applyBorder="1" applyAlignment="1">
      <x:alignment horizontal="center" vertical="center"/>
    </x:xf>
    <x:xf numFmtId="0" fontId="37" fillId="7" borderId="18" xfId="0" applyNumberFormat="1" applyFont="1" applyFill="1" applyBorder="1" applyAlignment="1">
      <x:alignment horizontal="left" vertical="center"/>
    </x:xf>
    <x:xf numFmtId="0" fontId="37" fillId="7" borderId="11" xfId="0" applyNumberFormat="1" applyFont="1" applyFill="1" applyBorder="1" applyAlignment="1">
      <x:alignment horizontal="left" vertical="center"/>
    </x:xf>
    <x:xf numFmtId="1" fontId="37" fillId="7" borderId="11" xfId="0" applyNumberFormat="1" applyFont="1" applyFill="1" applyBorder="1" applyAlignment="1">
      <x:alignment horizontal="center" vertical="center"/>
    </x:xf>
    <x:xf numFmtId="0" fontId="37" fillId="7" borderId="11" xfId="0" applyNumberFormat="1" applyFont="1" applyFill="1" applyBorder="1" applyAlignment="1">
      <x:alignment horizontal="center" vertical="center"/>
    </x:xf>
    <x:xf numFmtId="164" fontId="37" fillId="7" borderId="12" xfId="0" applyNumberFormat="1" applyFont="1" applyFill="1" applyBorder="1" applyAlignment="1">
      <x:alignment horizontal="center" vertical="center"/>
    </x:xf>
    <x:xf numFmtId="0" fontId="37" fillId="7" borderId="19" xfId="0" applyNumberFormat="1" applyFont="1" applyFill="1" applyBorder="1" applyAlignment="1">
      <x:alignment horizontal="left" vertical="center"/>
    </x:xf>
    <x:xf numFmtId="0" fontId="37" fillId="7" borderId="14" xfId="0" applyNumberFormat="1" applyFont="1" applyFill="1" applyBorder="1" applyAlignment="1">
      <x:alignment horizontal="left" vertical="center"/>
    </x:xf>
    <x:xf numFmtId="1" fontId="37" fillId="7" borderId="14" xfId="0" applyNumberFormat="1" applyFont="1" applyFill="1" applyBorder="1" applyAlignment="1">
      <x:alignment horizontal="center" vertical="center"/>
    </x:xf>
    <x:xf numFmtId="0" fontId="37" fillId="7" borderId="14" xfId="0" applyNumberFormat="1" applyFont="1" applyFill="1" applyBorder="1" applyAlignment="1">
      <x:alignment horizontal="center" vertical="center"/>
    </x:xf>
    <x:xf numFmtId="164" fontId="37" fillId="7" borderId="15" xfId="0" applyNumberFormat="1" applyFont="1" applyFill="1" applyBorder="1" applyAlignment="1">
      <x:alignment horizontal="center" vertical="center"/>
    </x:xf>
    <x:xf numFmtId="0" fontId="37" fillId="8" borderId="16" xfId="0" applyNumberFormat="1" applyFont="1" applyFill="1" applyBorder="1" applyAlignment="1">
      <x:alignment horizontal="left" vertical="center"/>
    </x:xf>
    <x:xf numFmtId="0" fontId="37" fillId="8" borderId="2" xfId="0" applyNumberFormat="1" applyFont="1" applyFill="1" applyBorder="1" applyAlignment="1">
      <x:alignment horizontal="left" vertical="center"/>
    </x:xf>
    <x:xf numFmtId="1" fontId="37" fillId="8" borderId="2" xfId="0" applyNumberFormat="1" applyFont="1" applyFill="1" applyBorder="1" applyAlignment="1">
      <x:alignment horizontal="center" vertical="center"/>
    </x:xf>
    <x:xf numFmtId="0" fontId="37" fillId="8" borderId="2" xfId="0" applyNumberFormat="1" applyFont="1" applyFill="1" applyBorder="1" applyAlignment="1">
      <x:alignment horizontal="center" vertical="center"/>
    </x:xf>
    <x:xf numFmtId="164" fontId="37" fillId="8" borderId="3" xfId="0" applyNumberFormat="1" applyFont="1" applyFill="1" applyBorder="1" applyAlignment="1">
      <x:alignment horizontal="center" vertical="center"/>
    </x:xf>
    <x:xf numFmtId="0" fontId="37" fillId="8" borderId="17" xfId="0" applyNumberFormat="1" applyFont="1" applyFill="1" applyBorder="1" applyAlignment="1">
      <x:alignment horizontal="left" vertical="center"/>
    </x:xf>
    <x:xf numFmtId="0" fontId="37" fillId="8" borderId="5" xfId="0" applyNumberFormat="1" applyFont="1" applyFill="1" applyBorder="1" applyAlignment="1">
      <x:alignment horizontal="left" vertical="center"/>
    </x:xf>
    <x:xf numFmtId="1" fontId="37" fillId="8" borderId="5" xfId="0" applyNumberFormat="1" applyFont="1" applyFill="1" applyBorder="1" applyAlignment="1">
      <x:alignment horizontal="center" vertical="center"/>
    </x:xf>
    <x:xf numFmtId="0" fontId="37" fillId="8" borderId="5" xfId="0" applyNumberFormat="1" applyFont="1" applyFill="1" applyBorder="1" applyAlignment="1">
      <x:alignment horizontal="center" vertical="center"/>
    </x:xf>
    <x:xf numFmtId="164" fontId="37" fillId="8" borderId="6" xfId="0" applyNumberFormat="1" applyFont="1" applyFill="1" applyBorder="1" applyAlignment="1">
      <x:alignment horizontal="center" vertical="center"/>
    </x:xf>
    <x:xf numFmtId="0" fontId="37" fillId="8" borderId="18" xfId="0" applyNumberFormat="1" applyFont="1" applyFill="1" applyBorder="1" applyAlignment="1">
      <x:alignment horizontal="left" vertical="center"/>
    </x:xf>
    <x:xf numFmtId="0" fontId="37" fillId="8" borderId="11" xfId="0" applyNumberFormat="1" applyFont="1" applyFill="1" applyBorder="1" applyAlignment="1">
      <x:alignment horizontal="left" vertical="center"/>
    </x:xf>
    <x:xf numFmtId="1" fontId="37" fillId="8" borderId="11" xfId="0" applyNumberFormat="1" applyFont="1" applyFill="1" applyBorder="1" applyAlignment="1">
      <x:alignment horizontal="center" vertical="center"/>
    </x:xf>
    <x:xf numFmtId="0" fontId="37" fillId="8" borderId="11" xfId="0" applyNumberFormat="1" applyFont="1" applyFill="1" applyBorder="1" applyAlignment="1">
      <x:alignment horizontal="center" vertical="center"/>
    </x:xf>
    <x:xf numFmtId="164" fontId="37" fillId="8" borderId="12" xfId="0" applyNumberFormat="1" applyFont="1" applyFill="1" applyBorder="1" applyAlignment="1">
      <x:alignment horizontal="center" vertical="center"/>
    </x:xf>
    <x:xf numFmtId="0" fontId="37" fillId="8" borderId="19" xfId="0" applyNumberFormat="1" applyFont="1" applyFill="1" applyBorder="1" applyAlignment="1">
      <x:alignment horizontal="left" vertical="center"/>
    </x:xf>
    <x:xf numFmtId="0" fontId="37" fillId="8" borderId="14" xfId="0" applyNumberFormat="1" applyFont="1" applyFill="1" applyBorder="1" applyAlignment="1">
      <x:alignment horizontal="left" vertical="center"/>
    </x:xf>
    <x:xf numFmtId="1" fontId="37" fillId="8" borderId="14" xfId="0" applyNumberFormat="1" applyFont="1" applyFill="1" applyBorder="1" applyAlignment="1">
      <x:alignment horizontal="center" vertical="center"/>
    </x:xf>
    <x:xf numFmtId="0" fontId="37" fillId="8" borderId="14" xfId="0" applyNumberFormat="1" applyFont="1" applyFill="1" applyBorder="1" applyAlignment="1">
      <x:alignment horizontal="center" vertical="center"/>
    </x:xf>
    <x:xf numFmtId="164" fontId="37" fillId="8" borderId="15" xfId="0" applyNumberFormat="1" applyFont="1" applyFill="1" applyBorder="1" applyAlignment="1">
      <x:alignment horizontal="center" vertical="center"/>
    </x:xf>
    <x:xf numFmtId="0" fontId="37" fillId="9" borderId="16" xfId="0" applyNumberFormat="1" applyFont="1" applyFill="1" applyBorder="1" applyAlignment="1">
      <x:alignment horizontal="left" vertical="center"/>
    </x:xf>
    <x:xf numFmtId="0" fontId="37" fillId="9" borderId="2" xfId="0" applyNumberFormat="1" applyFont="1" applyFill="1" applyBorder="1" applyAlignment="1">
      <x:alignment horizontal="left" vertical="center"/>
    </x:xf>
    <x:xf numFmtId="1" fontId="37" fillId="9" borderId="2" xfId="0" applyNumberFormat="1" applyFont="1" applyFill="1" applyBorder="1" applyAlignment="1">
      <x:alignment horizontal="center" vertical="center"/>
    </x:xf>
    <x:xf numFmtId="0" fontId="37" fillId="9" borderId="2" xfId="0" applyNumberFormat="1" applyFont="1" applyFill="1" applyBorder="1" applyAlignment="1">
      <x:alignment horizontal="center" vertical="center"/>
    </x:xf>
    <x:xf numFmtId="164" fontId="37" fillId="9" borderId="3" xfId="0" applyNumberFormat="1" applyFont="1" applyFill="1" applyBorder="1" applyAlignment="1">
      <x:alignment horizontal="center" vertical="center"/>
    </x:xf>
    <x:xf numFmtId="0" fontId="37" fillId="9" borderId="17" xfId="0" applyNumberFormat="1" applyFont="1" applyFill="1" applyBorder="1" applyAlignment="1">
      <x:alignment horizontal="left" vertical="center"/>
    </x:xf>
    <x:xf numFmtId="0" fontId="37" fillId="9" borderId="5" xfId="0" applyNumberFormat="1" applyFont="1" applyFill="1" applyBorder="1" applyAlignment="1">
      <x:alignment horizontal="left" vertical="center"/>
    </x:xf>
    <x:xf numFmtId="1" fontId="37" fillId="9" borderId="5" xfId="0" applyNumberFormat="1" applyFont="1" applyFill="1" applyBorder="1" applyAlignment="1">
      <x:alignment horizontal="center" vertical="center"/>
    </x:xf>
    <x:xf numFmtId="0" fontId="37" fillId="9" borderId="5" xfId="0" applyNumberFormat="1" applyFont="1" applyFill="1" applyBorder="1" applyAlignment="1">
      <x:alignment horizontal="center" vertical="center"/>
    </x:xf>
    <x:xf numFmtId="164" fontId="37" fillId="9" borderId="6" xfId="0" applyNumberFormat="1" applyFont="1" applyFill="1" applyBorder="1" applyAlignment="1">
      <x:alignment horizontal="center" vertical="center"/>
    </x:xf>
    <x:xf numFmtId="0" fontId="37" fillId="9" borderId="18" xfId="0" applyNumberFormat="1" applyFont="1" applyFill="1" applyBorder="1" applyAlignment="1">
      <x:alignment horizontal="left" vertical="center"/>
    </x:xf>
    <x:xf numFmtId="0" fontId="37" fillId="9" borderId="11" xfId="0" applyNumberFormat="1" applyFont="1" applyFill="1" applyBorder="1" applyAlignment="1">
      <x:alignment horizontal="left" vertical="center"/>
    </x:xf>
    <x:xf numFmtId="1" fontId="37" fillId="9" borderId="11" xfId="0" applyNumberFormat="1" applyFont="1" applyFill="1" applyBorder="1" applyAlignment="1">
      <x:alignment horizontal="center" vertical="center"/>
    </x:xf>
    <x:xf numFmtId="0" fontId="37" fillId="9" borderId="11" xfId="0" applyNumberFormat="1" applyFont="1" applyFill="1" applyBorder="1" applyAlignment="1">
      <x:alignment horizontal="center" vertical="center"/>
    </x:xf>
    <x:xf numFmtId="164" fontId="37" fillId="9" borderId="12" xfId="0" applyNumberFormat="1" applyFont="1" applyFill="1" applyBorder="1" applyAlignment="1">
      <x:alignment horizontal="center" vertical="center"/>
    </x:xf>
    <x:xf numFmtId="0" fontId="37" fillId="9" borderId="19" xfId="0" applyNumberFormat="1" applyFont="1" applyFill="1" applyBorder="1" applyAlignment="1">
      <x:alignment horizontal="left" vertical="center"/>
    </x:xf>
    <x:xf numFmtId="0" fontId="37" fillId="9" borderId="14" xfId="0" applyNumberFormat="1" applyFont="1" applyFill="1" applyBorder="1" applyAlignment="1">
      <x:alignment horizontal="left" vertical="center"/>
    </x:xf>
    <x:xf numFmtId="1" fontId="37" fillId="9" borderId="14" xfId="0" applyNumberFormat="1" applyFont="1" applyFill="1" applyBorder="1" applyAlignment="1">
      <x:alignment horizontal="center" vertical="center"/>
    </x:xf>
    <x:xf numFmtId="0" fontId="37" fillId="9" borderId="14" xfId="0" applyNumberFormat="1" applyFont="1" applyFill="1" applyBorder="1" applyAlignment="1">
      <x:alignment horizontal="center" vertical="center"/>
    </x:xf>
    <x:xf numFmtId="164" fontId="37" fillId="9" borderId="15" xfId="0" applyNumberFormat="1" applyFont="1" applyFill="1" applyBorder="1" applyAlignment="1">
      <x:alignment horizontal="center" vertical="center"/>
    </x:xf>
    <x:xf numFmtId="0" fontId="37" fillId="10" borderId="16" xfId="0" applyNumberFormat="1" applyFont="1" applyFill="1" applyBorder="1" applyAlignment="1">
      <x:alignment horizontal="left" vertical="center"/>
    </x:xf>
    <x:xf numFmtId="0" fontId="37" fillId="10" borderId="2" xfId="0" applyNumberFormat="1" applyFont="1" applyFill="1" applyBorder="1" applyAlignment="1">
      <x:alignment horizontal="left" vertical="center"/>
    </x:xf>
    <x:xf numFmtId="1" fontId="37" fillId="10" borderId="2" xfId="0" applyNumberFormat="1" applyFont="1" applyFill="1" applyBorder="1" applyAlignment="1">
      <x:alignment horizontal="center" vertical="center"/>
    </x:xf>
    <x:xf numFmtId="0" fontId="37" fillId="10" borderId="2" xfId="0" applyNumberFormat="1" applyFont="1" applyFill="1" applyBorder="1" applyAlignment="1">
      <x:alignment horizontal="center" vertical="center"/>
    </x:xf>
    <x:xf numFmtId="164" fontId="37" fillId="10" borderId="3" xfId="0" applyNumberFormat="1" applyFont="1" applyFill="1" applyBorder="1" applyAlignment="1">
      <x:alignment horizontal="center" vertical="center"/>
    </x:xf>
    <x:xf numFmtId="0" fontId="37" fillId="10" borderId="17" xfId="0" applyNumberFormat="1" applyFont="1" applyFill="1" applyBorder="1" applyAlignment="1">
      <x:alignment horizontal="left" vertical="center"/>
    </x:xf>
    <x:xf numFmtId="0" fontId="37" fillId="10" borderId="5" xfId="0" applyNumberFormat="1" applyFont="1" applyFill="1" applyBorder="1" applyAlignment="1">
      <x:alignment horizontal="left" vertical="center"/>
    </x:xf>
    <x:xf numFmtId="1" fontId="37" fillId="10" borderId="5" xfId="0" applyNumberFormat="1" applyFont="1" applyFill="1" applyBorder="1" applyAlignment="1">
      <x:alignment horizontal="center" vertical="center"/>
    </x:xf>
    <x:xf numFmtId="0" fontId="37" fillId="10" borderId="5" xfId="0" applyNumberFormat="1" applyFont="1" applyFill="1" applyBorder="1" applyAlignment="1">
      <x:alignment horizontal="center" vertical="center"/>
    </x:xf>
    <x:xf numFmtId="164" fontId="37" fillId="10" borderId="6" xfId="0" applyNumberFormat="1" applyFont="1" applyFill="1" applyBorder="1" applyAlignment="1">
      <x:alignment horizontal="center" vertical="center"/>
    </x:xf>
    <x:xf numFmtId="0" fontId="37" fillId="10" borderId="18" xfId="0" applyNumberFormat="1" applyFont="1" applyFill="1" applyBorder="1" applyAlignment="1">
      <x:alignment horizontal="left" vertical="center"/>
    </x:xf>
    <x:xf numFmtId="0" fontId="37" fillId="10" borderId="11" xfId="0" applyNumberFormat="1" applyFont="1" applyFill="1" applyBorder="1" applyAlignment="1">
      <x:alignment horizontal="left" vertical="center"/>
    </x:xf>
    <x:xf numFmtId="1" fontId="37" fillId="10" borderId="11" xfId="0" applyNumberFormat="1" applyFont="1" applyFill="1" applyBorder="1" applyAlignment="1">
      <x:alignment horizontal="center" vertical="center"/>
    </x:xf>
    <x:xf numFmtId="0" fontId="37" fillId="10" borderId="11" xfId="0" applyNumberFormat="1" applyFont="1" applyFill="1" applyBorder="1" applyAlignment="1">
      <x:alignment horizontal="center" vertical="center"/>
    </x:xf>
    <x:xf numFmtId="164" fontId="37" fillId="10" borderId="12" xfId="0" applyNumberFormat="1" applyFont="1" applyFill="1" applyBorder="1" applyAlignment="1">
      <x:alignment horizontal="center" vertical="center"/>
    </x:xf>
    <x:xf numFmtId="0" fontId="37" fillId="10" borderId="19" xfId="0" applyNumberFormat="1" applyFont="1" applyFill="1" applyBorder="1" applyAlignment="1">
      <x:alignment horizontal="left" vertical="center"/>
    </x:xf>
    <x:xf numFmtId="0" fontId="37" fillId="10" borderId="14" xfId="0" applyNumberFormat="1" applyFont="1" applyFill="1" applyBorder="1" applyAlignment="1">
      <x:alignment horizontal="left" vertical="center"/>
    </x:xf>
    <x:xf numFmtId="1" fontId="37" fillId="10" borderId="14" xfId="0" applyNumberFormat="1" applyFont="1" applyFill="1" applyBorder="1" applyAlignment="1">
      <x:alignment horizontal="center" vertical="center"/>
    </x:xf>
    <x:xf numFmtId="0" fontId="37" fillId="10" borderId="14" xfId="0" applyNumberFormat="1" applyFont="1" applyFill="1" applyBorder="1" applyAlignment="1">
      <x:alignment horizontal="center" vertical="center"/>
    </x:xf>
    <x:xf numFmtId="164" fontId="37" fillId="10" borderId="15" xfId="0" applyNumberFormat="1" applyFont="1" applyFill="1" applyBorder="1" applyAlignment="1">
      <x:alignment horizontal="center" vertical="center"/>
    </x:xf>
    <x:xf numFmtId="0" fontId="37" fillId="11" borderId="16" xfId="0" applyNumberFormat="1" applyFont="1" applyFill="1" applyBorder="1" applyAlignment="1">
      <x:alignment horizontal="left" vertical="center"/>
    </x:xf>
    <x:xf numFmtId="0" fontId="37" fillId="11" borderId="2" xfId="0" applyNumberFormat="1" applyFont="1" applyFill="1" applyBorder="1" applyAlignment="1">
      <x:alignment horizontal="left" vertical="center"/>
    </x:xf>
    <x:xf numFmtId="1" fontId="37" fillId="11" borderId="2" xfId="0" applyNumberFormat="1" applyFont="1" applyFill="1" applyBorder="1" applyAlignment="1">
      <x:alignment horizontal="center" vertical="center"/>
    </x:xf>
    <x:xf numFmtId="0" fontId="37" fillId="11" borderId="2" xfId="0" applyNumberFormat="1" applyFont="1" applyFill="1" applyBorder="1" applyAlignment="1">
      <x:alignment horizontal="center" vertical="center"/>
    </x:xf>
    <x:xf numFmtId="164" fontId="37" fillId="11" borderId="3" xfId="0" applyNumberFormat="1" applyFont="1" applyFill="1" applyBorder="1" applyAlignment="1">
      <x:alignment horizontal="center" vertical="center"/>
    </x:xf>
    <x:xf numFmtId="0" fontId="37" fillId="11" borderId="4" xfId="0" applyNumberFormat="1" applyFont="1" applyFill="1" applyBorder="1" applyAlignment="1">
      <x:alignment horizontal="left" vertical="center"/>
    </x:xf>
    <x:xf numFmtId="0" fontId="37" fillId="11" borderId="5" xfId="0" applyNumberFormat="1" applyFont="1" applyFill="1" applyBorder="1" applyAlignment="1">
      <x:alignment horizontal="left" vertical="center"/>
    </x:xf>
    <x:xf numFmtId="1" fontId="37" fillId="11" borderId="5" xfId="0" applyNumberFormat="1" applyFont="1" applyFill="1" applyBorder="1" applyAlignment="1">
      <x:alignment horizontal="center" vertical="center"/>
    </x:xf>
    <x:xf numFmtId="0" fontId="37" fillId="11" borderId="5" xfId="0" applyNumberFormat="1" applyFont="1" applyFill="1" applyBorder="1" applyAlignment="1">
      <x:alignment horizontal="center" vertical="center"/>
    </x:xf>
    <x:xf numFmtId="164" fontId="37" fillId="11" borderId="6" xfId="0" applyNumberFormat="1" applyFont="1" applyFill="1" applyBorder="1" applyAlignment="1">
      <x:alignment horizontal="center" vertical="center"/>
    </x:xf>
    <x:xf numFmtId="0" fontId="37" fillId="11" borderId="10" xfId="0" applyNumberFormat="1" applyFont="1" applyFill="1" applyBorder="1" applyAlignment="1">
      <x:alignment horizontal="left" vertical="center"/>
    </x:xf>
    <x:xf numFmtId="0" fontId="37" fillId="11" borderId="11" xfId="0" applyNumberFormat="1" applyFont="1" applyFill="1" applyBorder="1" applyAlignment="1">
      <x:alignment horizontal="left" vertical="center"/>
    </x:xf>
    <x:xf numFmtId="1" fontId="37" fillId="11" borderId="11" xfId="0" applyNumberFormat="1" applyFont="1" applyFill="1" applyBorder="1" applyAlignment="1">
      <x:alignment horizontal="center" vertical="center"/>
    </x:xf>
    <x:xf numFmtId="0" fontId="37" fillId="11" borderId="11" xfId="0" applyNumberFormat="1" applyFont="1" applyFill="1" applyBorder="1" applyAlignment="1">
      <x:alignment horizontal="center" vertical="center"/>
    </x:xf>
    <x:xf numFmtId="164" fontId="37" fillId="11" borderId="12" xfId="0" applyNumberFormat="1" applyFont="1" applyFill="1" applyBorder="1" applyAlignment="1">
      <x:alignment horizontal="center" vertical="center"/>
    </x:xf>
    <x:xf numFmtId="0" fontId="37" fillId="11" borderId="13" xfId="0" applyNumberFormat="1" applyFont="1" applyFill="1" applyBorder="1" applyAlignment="1">
      <x:alignment horizontal="left" vertical="center"/>
    </x:xf>
    <x:xf numFmtId="0" fontId="37" fillId="11" borderId="14" xfId="0" applyNumberFormat="1" applyFont="1" applyFill="1" applyBorder="1" applyAlignment="1">
      <x:alignment horizontal="left" vertical="center"/>
    </x:xf>
    <x:xf numFmtId="1" fontId="37" fillId="11" borderId="14" xfId="0" applyNumberFormat="1" applyFont="1" applyFill="1" applyBorder="1" applyAlignment="1">
      <x:alignment horizontal="center" vertical="center"/>
    </x:xf>
    <x:xf numFmtId="0" fontId="37" fillId="11" borderId="14" xfId="0" applyNumberFormat="1" applyFont="1" applyFill="1" applyBorder="1" applyAlignment="1">
      <x:alignment horizontal="center" vertical="center"/>
    </x:xf>
    <x:xf numFmtId="164" fontId="37" fillId="11" borderId="15" xfId="0" applyNumberFormat="1" applyFont="1" applyFill="1" applyBorder="1" applyAlignment="1">
      <x:alignment horizontal="center" vertical="center"/>
    </x:xf>
    <x:xf numFmtId="0" fontId="37" fillId="12" borderId="1" xfId="0" applyNumberFormat="1" applyFont="1" applyFill="1" applyBorder="1" applyAlignment="1">
      <x:alignment horizontal="left" vertical="center"/>
    </x:xf>
    <x:xf numFmtId="0" fontId="37" fillId="12" borderId="2" xfId="0" applyNumberFormat="1" applyFont="1" applyFill="1" applyBorder="1" applyAlignment="1">
      <x:alignment horizontal="left" vertical="center"/>
    </x:xf>
    <x:xf numFmtId="1" fontId="37" fillId="12" borderId="2" xfId="0" applyNumberFormat="1" applyFont="1" applyFill="1" applyBorder="1" applyAlignment="1">
      <x:alignment horizontal="center" vertical="center"/>
    </x:xf>
    <x:xf numFmtId="0" fontId="37" fillId="12" borderId="2" xfId="0" applyNumberFormat="1" applyFont="1" applyFill="1" applyBorder="1" applyAlignment="1">
      <x:alignment horizontal="center" vertical="center"/>
    </x:xf>
    <x:xf numFmtId="164" fontId="37" fillId="12" borderId="3" xfId="0" applyNumberFormat="1" applyFont="1" applyFill="1" applyBorder="1" applyAlignment="1">
      <x:alignment horizontal="center" vertical="center"/>
    </x:xf>
    <x:xf numFmtId="0" fontId="37" fillId="12" borderId="4" xfId="0" applyNumberFormat="1" applyFont="1" applyFill="1" applyBorder="1" applyAlignment="1">
      <x:alignment horizontal="left" vertical="center"/>
    </x:xf>
    <x:xf numFmtId="0" fontId="37" fillId="12" borderId="5" xfId="0" applyNumberFormat="1" applyFont="1" applyFill="1" applyBorder="1" applyAlignment="1">
      <x:alignment horizontal="left" vertical="center"/>
    </x:xf>
    <x:xf numFmtId="1" fontId="37" fillId="12" borderId="5" xfId="0" applyNumberFormat="1" applyFont="1" applyFill="1" applyBorder="1" applyAlignment="1">
      <x:alignment horizontal="center" vertical="center"/>
    </x:xf>
    <x:xf numFmtId="0" fontId="37" fillId="12" borderId="5" xfId="0" applyNumberFormat="1" applyFont="1" applyFill="1" applyBorder="1" applyAlignment="1">
      <x:alignment horizontal="center" vertical="center"/>
    </x:xf>
    <x:xf numFmtId="164" fontId="37" fillId="12" borderId="6" xfId="0" applyNumberFormat="1" applyFont="1" applyFill="1" applyBorder="1" applyAlignment="1">
      <x:alignment horizontal="center" vertical="center"/>
    </x:xf>
    <x:xf numFmtId="0" fontId="37" fillId="12" borderId="10" xfId="0" applyNumberFormat="1" applyFont="1" applyFill="1" applyBorder="1" applyAlignment="1">
      <x:alignment horizontal="left" vertical="center"/>
    </x:xf>
    <x:xf numFmtId="0" fontId="37" fillId="12" borderId="11" xfId="0" applyNumberFormat="1" applyFont="1" applyFill="1" applyBorder="1" applyAlignment="1">
      <x:alignment horizontal="left" vertical="center"/>
    </x:xf>
    <x:xf numFmtId="1" fontId="37" fillId="12" borderId="11" xfId="0" applyNumberFormat="1" applyFont="1" applyFill="1" applyBorder="1" applyAlignment="1">
      <x:alignment horizontal="center" vertical="center"/>
    </x:xf>
    <x:xf numFmtId="0" fontId="37" fillId="12" borderId="11" xfId="0" applyNumberFormat="1" applyFont="1" applyFill="1" applyBorder="1" applyAlignment="1">
      <x:alignment horizontal="center" vertical="center"/>
    </x:xf>
    <x:xf numFmtId="164" fontId="37" fillId="12" borderId="12" xfId="0" applyNumberFormat="1" applyFont="1" applyFill="1" applyBorder="1" applyAlignment="1">
      <x:alignment horizontal="center" vertical="center"/>
    </x:xf>
    <x:xf numFmtId="0" fontId="37" fillId="12" borderId="13" xfId="0" applyNumberFormat="1" applyFont="1" applyFill="1" applyBorder="1" applyAlignment="1">
      <x:alignment horizontal="left" vertical="center"/>
    </x:xf>
    <x:xf numFmtId="0" fontId="37" fillId="12" borderId="14" xfId="0" applyNumberFormat="1" applyFont="1" applyFill="1" applyBorder="1" applyAlignment="1">
      <x:alignment horizontal="left" vertical="center"/>
    </x:xf>
    <x:xf numFmtId="1" fontId="37" fillId="12" borderId="14" xfId="0" applyNumberFormat="1" applyFont="1" applyFill="1" applyBorder="1" applyAlignment="1">
      <x:alignment horizontal="center" vertical="center"/>
    </x:xf>
    <x:xf numFmtId="0" fontId="37" fillId="12" borderId="14" xfId="0" applyNumberFormat="1" applyFont="1" applyFill="1" applyBorder="1" applyAlignment="1">
      <x:alignment horizontal="center" vertical="center"/>
    </x:xf>
    <x:xf numFmtId="164" fontId="37" fillId="12" borderId="15" xfId="0" applyNumberFormat="1" applyFont="1" applyFill="1" applyBorder="1" applyAlignment="1">
      <x:alignment horizontal="center" vertical="center"/>
    </x:xf>
    <x:xf numFmtId="0" fontId="37" fillId="13" borderId="1" xfId="0" applyNumberFormat="1" applyFont="1" applyFill="1" applyBorder="1" applyAlignment="1">
      <x:alignment horizontal="left" vertical="center"/>
    </x:xf>
    <x:xf numFmtId="0" fontId="37" fillId="13" borderId="2" xfId="0" applyNumberFormat="1" applyFont="1" applyFill="1" applyBorder="1" applyAlignment="1">
      <x:alignment horizontal="left" vertical="center"/>
    </x:xf>
    <x:xf numFmtId="1" fontId="37" fillId="13" borderId="2" xfId="0" applyNumberFormat="1" applyFont="1" applyFill="1" applyBorder="1" applyAlignment="1">
      <x:alignment horizontal="center" vertical="center"/>
    </x:xf>
    <x:xf numFmtId="0" fontId="37" fillId="13" borderId="2" xfId="0" applyNumberFormat="1" applyFont="1" applyFill="1" applyBorder="1" applyAlignment="1">
      <x:alignment horizontal="center" vertical="center"/>
    </x:xf>
    <x:xf numFmtId="164" fontId="37" fillId="13" borderId="3" xfId="0" applyNumberFormat="1" applyFont="1" applyFill="1" applyBorder="1" applyAlignment="1">
      <x:alignment horizontal="center" vertical="center"/>
    </x:xf>
    <x:xf numFmtId="0" fontId="37" fillId="13" borderId="4" xfId="0" applyNumberFormat="1" applyFont="1" applyFill="1" applyBorder="1" applyAlignment="1">
      <x:alignment horizontal="left" vertical="center"/>
    </x:xf>
    <x:xf numFmtId="0" fontId="37" fillId="13" borderId="5" xfId="0" applyNumberFormat="1" applyFont="1" applyFill="1" applyBorder="1" applyAlignment="1">
      <x:alignment horizontal="left" vertical="center"/>
    </x:xf>
    <x:xf numFmtId="1" fontId="37" fillId="13" borderId="5" xfId="0" applyNumberFormat="1" applyFont="1" applyFill="1" applyBorder="1" applyAlignment="1">
      <x:alignment horizontal="center" vertical="center"/>
    </x:xf>
    <x:xf numFmtId="0" fontId="37" fillId="13" borderId="5" xfId="0" applyNumberFormat="1" applyFont="1" applyFill="1" applyBorder="1" applyAlignment="1">
      <x:alignment horizontal="center" vertical="center"/>
    </x:xf>
    <x:xf numFmtId="164" fontId="37" fillId="13" borderId="6" xfId="0" applyNumberFormat="1" applyFont="1" applyFill="1" applyBorder="1" applyAlignment="1">
      <x:alignment horizontal="center" vertical="center"/>
    </x:xf>
    <x:xf numFmtId="0" fontId="37" fillId="13" borderId="10" xfId="0" applyNumberFormat="1" applyFont="1" applyFill="1" applyBorder="1" applyAlignment="1">
      <x:alignment horizontal="left" vertical="center"/>
    </x:xf>
    <x:xf numFmtId="0" fontId="37" fillId="13" borderId="11" xfId="0" applyNumberFormat="1" applyFont="1" applyFill="1" applyBorder="1" applyAlignment="1">
      <x:alignment horizontal="left" vertical="center"/>
    </x:xf>
    <x:xf numFmtId="1" fontId="37" fillId="13" borderId="11" xfId="0" applyNumberFormat="1" applyFont="1" applyFill="1" applyBorder="1" applyAlignment="1">
      <x:alignment horizontal="center" vertical="center"/>
    </x:xf>
    <x:xf numFmtId="0" fontId="37" fillId="13" borderId="11" xfId="0" applyNumberFormat="1" applyFont="1" applyFill="1" applyBorder="1" applyAlignment="1">
      <x:alignment horizontal="center" vertical="center"/>
    </x:xf>
    <x:xf numFmtId="164" fontId="37" fillId="13" borderId="12" xfId="0" applyNumberFormat="1" applyFont="1" applyFill="1" applyBorder="1" applyAlignment="1">
      <x:alignment horizontal="center" vertical="center"/>
    </x:xf>
    <x:xf numFmtId="0" fontId="37" fillId="13" borderId="13" xfId="0" applyNumberFormat="1" applyFont="1" applyFill="1" applyBorder="1" applyAlignment="1">
      <x:alignment horizontal="left" vertical="center"/>
    </x:xf>
    <x:xf numFmtId="0" fontId="37" fillId="13" borderId="14" xfId="0" applyNumberFormat="1" applyFont="1" applyFill="1" applyBorder="1" applyAlignment="1">
      <x:alignment horizontal="left" vertical="center"/>
    </x:xf>
    <x:xf numFmtId="1" fontId="37" fillId="13" borderId="14" xfId="0" applyNumberFormat="1" applyFont="1" applyFill="1" applyBorder="1" applyAlignment="1">
      <x:alignment horizontal="center" vertical="center"/>
    </x:xf>
    <x:xf numFmtId="0" fontId="37" fillId="13" borderId="14" xfId="0" applyNumberFormat="1" applyFont="1" applyFill="1" applyBorder="1" applyAlignment="1">
      <x:alignment horizontal="center" vertical="center"/>
    </x:xf>
    <x:xf numFmtId="164" fontId="37" fillId="13" borderId="15" xfId="0" applyNumberFormat="1" applyFont="1" applyFill="1" applyBorder="1" applyAlignment="1">
      <x:alignment horizontal="center" vertical="center"/>
    </x:xf>
    <x:xf numFmtId="0" fontId="39" fillId="13" borderId="1" xfId="0" applyNumberFormat="1" applyFont="1" applyFill="1" applyBorder="1" applyAlignment="1">
      <x:alignment horizontal="left" vertical="center"/>
    </x:xf>
    <x:xf numFmtId="0" fontId="39" fillId="13" borderId="2" xfId="0" applyNumberFormat="1" applyFont="1" applyFill="1" applyBorder="1" applyAlignment="1">
      <x:alignment horizontal="left" vertical="center"/>
    </x:xf>
    <x:xf numFmtId="49" fontId="39" fillId="13" borderId="2" xfId="0" applyNumberFormat="1" applyFont="1" applyFill="1" applyBorder="1" applyAlignment="1">
      <x:alignment horizontal="center" vertical="center"/>
    </x:xf>
    <x:xf numFmtId="0" fontId="39" fillId="13" borderId="2" xfId="0" applyNumberFormat="1" applyFont="1" applyFill="1" applyBorder="1" applyAlignment="1">
      <x:alignment horizontal="center" vertical="center"/>
    </x:xf>
    <x:xf numFmtId="0" fontId="39" fillId="13" borderId="3" xfId="0" applyNumberFormat="1" applyFont="1" applyFill="1" applyBorder="1" applyAlignment="1">
      <x:alignment horizontal="center" vertical="center"/>
    </x:xf>
    <x:xf numFmtId="0" fontId="39" fillId="13" borderId="4" xfId="0" applyNumberFormat="1" applyFont="1" applyFill="1" applyBorder="1" applyAlignment="1">
      <x:alignment horizontal="left" vertical="center"/>
    </x:xf>
    <x:xf numFmtId="0" fontId="39" fillId="13" borderId="5" xfId="0" applyNumberFormat="1" applyFont="1" applyFill="1" applyBorder="1" applyAlignment="1">
      <x:alignment horizontal="left" vertical="center"/>
    </x:xf>
    <x:xf numFmtId="49" fontId="39" fillId="13" borderId="5" xfId="0" applyNumberFormat="1" applyFont="1" applyFill="1" applyBorder="1" applyAlignment="1">
      <x:alignment horizontal="center" vertical="center"/>
    </x:xf>
    <x:xf numFmtId="0" fontId="39" fillId="13" borderId="5" xfId="0" applyNumberFormat="1" applyFont="1" applyFill="1" applyBorder="1" applyAlignment="1">
      <x:alignment horizontal="center" vertical="center"/>
    </x:xf>
    <x:xf numFmtId="0" fontId="39" fillId="13" borderId="6" xfId="0" applyNumberFormat="1" applyFont="1" applyFill="1" applyBorder="1" applyAlignment="1">
      <x:alignment horizontal="center" vertical="center"/>
    </x:xf>
    <x:xf numFmtId="0" fontId="39" fillId="13" borderId="10" xfId="0" applyNumberFormat="1" applyFont="1" applyFill="1" applyBorder="1" applyAlignment="1">
      <x:alignment horizontal="left" vertical="center"/>
    </x:xf>
    <x:xf numFmtId="0" fontId="39" fillId="13" borderId="11" xfId="0" applyNumberFormat="1" applyFont="1" applyFill="1" applyBorder="1" applyAlignment="1">
      <x:alignment horizontal="left" vertical="center"/>
    </x:xf>
    <x:xf numFmtId="49" fontId="39" fillId="13" borderId="11" xfId="0" applyNumberFormat="1" applyFont="1" applyFill="1" applyBorder="1" applyAlignment="1">
      <x:alignment horizontal="center" vertical="center"/>
    </x:xf>
    <x:xf numFmtId="0" fontId="39" fillId="13" borderId="11" xfId="0" applyNumberFormat="1" applyFont="1" applyFill="1" applyBorder="1" applyAlignment="1">
      <x:alignment horizontal="center" vertical="center"/>
    </x:xf>
    <x:xf numFmtId="0" fontId="39" fillId="13" borderId="12" xfId="0" applyNumberFormat="1" applyFont="1" applyFill="1" applyBorder="1" applyAlignment="1">
      <x:alignment horizontal="center" vertical="center"/>
    </x:xf>
    <x:xf numFmtId="0" fontId="39" fillId="13" borderId="13" xfId="0" applyNumberFormat="1" applyFont="1" applyFill="1" applyBorder="1" applyAlignment="1">
      <x:alignment horizontal="left" vertical="center"/>
    </x:xf>
    <x:xf numFmtId="0" fontId="39" fillId="13" borderId="14" xfId="0" applyNumberFormat="1" applyFont="1" applyFill="1" applyBorder="1" applyAlignment="1">
      <x:alignment horizontal="left" vertical="center"/>
    </x:xf>
    <x:xf numFmtId="49" fontId="39" fillId="13" borderId="14" xfId="0" applyNumberFormat="1" applyFont="1" applyFill="1" applyBorder="1" applyAlignment="1">
      <x:alignment horizontal="center" vertical="center"/>
    </x:xf>
    <x:xf numFmtId="0" fontId="39" fillId="13" borderId="14" xfId="0" applyNumberFormat="1" applyFont="1" applyFill="1" applyBorder="1" applyAlignment="1">
      <x:alignment horizontal="center" vertical="center"/>
    </x:xf>
    <x:xf numFmtId="0" fontId="39" fillId="13" borderId="15" xfId="0" applyNumberFormat="1" applyFont="1" applyFill="1" applyBorder="1" applyAlignment="1">
      <x:alignment horizontal="center" vertical="center"/>
    </x:xf>
    <x:xf numFmtId="0" fontId="39" fillId="5" borderId="1" xfId="0" applyNumberFormat="1" applyFont="1" applyFill="1" applyBorder="1" applyAlignment="1">
      <x:alignment horizontal="left" vertical="center"/>
    </x:xf>
    <x:xf numFmtId="0" fontId="39" fillId="5" borderId="2" xfId="0" applyNumberFormat="1" applyFont="1" applyFill="1" applyBorder="1" applyAlignment="1">
      <x:alignment horizontal="left" vertical="center"/>
    </x:xf>
    <x:xf numFmtId="49" fontId="39" fillId="5" borderId="2" xfId="0" applyNumberFormat="1" applyFont="1" applyFill="1" applyBorder="1" applyAlignment="1">
      <x:alignment horizontal="center" vertical="center"/>
    </x:xf>
    <x:xf numFmtId="0" fontId="39" fillId="5" borderId="2" xfId="0" applyNumberFormat="1" applyFont="1" applyFill="1" applyBorder="1" applyAlignment="1">
      <x:alignment horizontal="center" vertical="center"/>
    </x:xf>
    <x:xf numFmtId="0" fontId="39" fillId="5" borderId="3" xfId="0" applyNumberFormat="1" applyFont="1" applyFill="1" applyBorder="1" applyAlignment="1">
      <x:alignment horizontal="center" vertical="center"/>
    </x:xf>
    <x:xf numFmtId="0" fontId="39" fillId="5" borderId="4" xfId="0" applyNumberFormat="1" applyFont="1" applyFill="1" applyBorder="1" applyAlignment="1">
      <x:alignment horizontal="left" vertical="center"/>
    </x:xf>
    <x:xf numFmtId="0" fontId="39" fillId="5" borderId="5" xfId="0" applyNumberFormat="1" applyFont="1" applyFill="1" applyBorder="1" applyAlignment="1">
      <x:alignment horizontal="left" vertical="center"/>
    </x:xf>
    <x:xf numFmtId="49" fontId="39" fillId="5" borderId="5" xfId="0" applyNumberFormat="1" applyFont="1" applyFill="1" applyBorder="1" applyAlignment="1">
      <x:alignment horizontal="center" vertical="center"/>
    </x:xf>
    <x:xf numFmtId="0" fontId="39" fillId="5" borderId="5" xfId="0" applyNumberFormat="1" applyFont="1" applyFill="1" applyBorder="1" applyAlignment="1">
      <x:alignment horizontal="center" vertical="center"/>
    </x:xf>
    <x:xf numFmtId="0" fontId="39" fillId="5" borderId="6" xfId="0" applyNumberFormat="1" applyFont="1" applyFill="1" applyBorder="1" applyAlignment="1">
      <x:alignment horizontal="center" vertical="center"/>
    </x:xf>
    <x:xf numFmtId="0" fontId="39" fillId="5" borderId="10" xfId="0" applyNumberFormat="1" applyFont="1" applyFill="1" applyBorder="1" applyAlignment="1">
      <x:alignment horizontal="left" vertical="center"/>
    </x:xf>
    <x:xf numFmtId="0" fontId="39" fillId="5" borderId="11" xfId="0" applyNumberFormat="1" applyFont="1" applyFill="1" applyBorder="1" applyAlignment="1">
      <x:alignment horizontal="left" vertical="center"/>
    </x:xf>
    <x:xf numFmtId="49" fontId="39" fillId="5" borderId="11" xfId="0" applyNumberFormat="1" applyFont="1" applyFill="1" applyBorder="1" applyAlignment="1">
      <x:alignment horizontal="center" vertical="center"/>
    </x:xf>
    <x:xf numFmtId="0" fontId="39" fillId="5" borderId="11" xfId="0" applyNumberFormat="1" applyFont="1" applyFill="1" applyBorder="1" applyAlignment="1">
      <x:alignment horizontal="center" vertical="center"/>
    </x:xf>
    <x:xf numFmtId="0" fontId="39" fillId="5" borderId="12" xfId="0" applyNumberFormat="1" applyFont="1" applyFill="1" applyBorder="1" applyAlignment="1">
      <x:alignment horizontal="center" vertical="center"/>
    </x:xf>
    <x:xf numFmtId="0" fontId="39" fillId="5" borderId="13" xfId="0" applyNumberFormat="1" applyFont="1" applyFill="1" applyBorder="1" applyAlignment="1">
      <x:alignment horizontal="left" vertical="center"/>
    </x:xf>
    <x:xf numFmtId="0" fontId="39" fillId="5" borderId="14" xfId="0" applyNumberFormat="1" applyFont="1" applyFill="1" applyBorder="1" applyAlignment="1">
      <x:alignment horizontal="left" vertical="center"/>
    </x:xf>
    <x:xf numFmtId="49" fontId="39" fillId="5" borderId="14" xfId="0" applyNumberFormat="1" applyFont="1" applyFill="1" applyBorder="1" applyAlignment="1">
      <x:alignment horizontal="center" vertical="center"/>
    </x:xf>
    <x:xf numFmtId="0" fontId="39" fillId="5" borderId="14" xfId="0" applyNumberFormat="1" applyFont="1" applyFill="1" applyBorder="1" applyAlignment="1">
      <x:alignment horizontal="center" vertical="center"/>
    </x:xf>
    <x:xf numFmtId="0" fontId="39" fillId="5" borderId="15" xfId="0" applyNumberFormat="1" applyFont="1" applyFill="1" applyBorder="1" applyAlignment="1">
      <x:alignment horizontal="center" vertical="center"/>
    </x:xf>
    <x:xf numFmtId="0" fontId="39" fillId="4" borderId="1" xfId="0" applyNumberFormat="1" applyFont="1" applyFill="1" applyBorder="1" applyAlignment="1">
      <x:alignment horizontal="left" vertical="center"/>
    </x:xf>
    <x:xf numFmtId="0" fontId="39" fillId="4" borderId="2" xfId="0" applyNumberFormat="1" applyFont="1" applyFill="1" applyBorder="1" applyAlignment="1">
      <x:alignment horizontal="left" vertical="center"/>
    </x:xf>
    <x:xf numFmtId="49" fontId="39" fillId="4" borderId="2" xfId="0" applyNumberFormat="1" applyFont="1" applyFill="1" applyBorder="1" applyAlignment="1">
      <x:alignment horizontal="center" vertical="center"/>
    </x:xf>
    <x:xf numFmtId="0" fontId="39" fillId="4" borderId="2" xfId="0" applyNumberFormat="1" applyFont="1" applyFill="1" applyBorder="1" applyAlignment="1">
      <x:alignment horizontal="center" vertical="center"/>
    </x:xf>
    <x:xf numFmtId="0" fontId="39" fillId="4" borderId="3" xfId="0" applyNumberFormat="1" applyFont="1" applyFill="1" applyBorder="1" applyAlignment="1">
      <x:alignment horizontal="center" vertical="center"/>
    </x:xf>
    <x:xf numFmtId="0" fontId="39" fillId="4" borderId="4" xfId="0" applyNumberFormat="1" applyFont="1" applyFill="1" applyBorder="1" applyAlignment="1">
      <x:alignment horizontal="left" vertical="center"/>
    </x:xf>
    <x:xf numFmtId="0" fontId="39" fillId="4" borderId="5" xfId="0" applyNumberFormat="1" applyFont="1" applyFill="1" applyBorder="1" applyAlignment="1">
      <x:alignment horizontal="left" vertical="center"/>
    </x:xf>
    <x:xf numFmtId="49" fontId="39" fillId="4" borderId="5" xfId="0" applyNumberFormat="1" applyFont="1" applyFill="1" applyBorder="1" applyAlignment="1">
      <x:alignment horizontal="center" vertical="center"/>
    </x:xf>
    <x:xf numFmtId="0" fontId="39" fillId="4" borderId="5" xfId="0" applyNumberFormat="1" applyFont="1" applyFill="1" applyBorder="1" applyAlignment="1">
      <x:alignment horizontal="center" vertical="center"/>
    </x:xf>
    <x:xf numFmtId="0" fontId="39" fillId="4" borderId="6" xfId="0" applyNumberFormat="1" applyFont="1" applyFill="1" applyBorder="1" applyAlignment="1">
      <x:alignment horizontal="center" vertical="center"/>
    </x:xf>
    <x:xf numFmtId="0" fontId="39" fillId="4" borderId="7" xfId="0" applyNumberFormat="1" applyFont="1" applyFill="1" applyBorder="1" applyAlignment="1">
      <x:alignment horizontal="left" vertical="center"/>
    </x:xf>
    <x:xf numFmtId="0" fontId="39" fillId="4" borderId="8" xfId="0" applyNumberFormat="1" applyFont="1" applyFill="1" applyBorder="1" applyAlignment="1">
      <x:alignment horizontal="left" vertical="center"/>
    </x:xf>
    <x:xf numFmtId="49" fontId="39" fillId="4" borderId="8" xfId="0" applyNumberFormat="1" applyFont="1" applyFill="1" applyBorder="1" applyAlignment="1">
      <x:alignment horizontal="center" vertical="center"/>
    </x:xf>
    <x:xf numFmtId="0" fontId="39" fillId="4" borderId="8" xfId="0" applyNumberFormat="1" applyFont="1" applyFill="1" applyBorder="1" applyAlignment="1">
      <x:alignment horizontal="center" vertical="center"/>
    </x:xf>
    <x:xf numFmtId="0" fontId="39" fillId="4" borderId="9" xfId="0" applyNumberFormat="1" applyFont="1" applyFill="1" applyBorder="1" applyAlignment="1">
      <x:alignment horizontal="center" vertical="center"/>
    </x:xf>
  </x:cellXfs>
  <x:cellStyles count="7">
    <x:cellStyle name="20% - Accent2" xfId="1"/>
    <x:cellStyle name="20% - Accent4" xfId="3"/>
    <x:cellStyle name="20% - Accent6" xfId="5"/>
    <x:cellStyle name="60% - Accent2" xfId="2"/>
    <x:cellStyle name="60% - Accent4" xfId="4"/>
    <x:cellStyle name="60% - Accent6" xfId="6"/>
    <x:cellStyle name="Normal" xfId="0"/>
  </x:cellStyles>
  <x:dxfs count="9">
    <x:dxf>
      <x:font>
        <x:b/>
        <x:color rgb="FFFFFFFF"/>
      </x:font>
      <x:fill>
        <x:patternFill>
          <x:bgColor indexed="64"/>
        </x:patternFill>
      </x:fill>
    </x:dxf>
    <x:dxf>
      <x:font>
        <x:b/>
        <x:color rgb="FFFFFFFF"/>
      </x:font>
      <x:fill>
        <x:patternFill>
          <x:bgColor indexed="64"/>
        </x:patternFill>
      </x:fill>
    </x:dxf>
    <x:dxf>
      <x:font>
        <x:b/>
        <x:color rgb="FFFFFFFF"/>
      </x:font>
      <x:fill>
        <x:patternFill>
          <x:bgColor indexed="64"/>
        </x:patternFill>
      </x:fill>
    </x:dxf>
    <x:dxf>
      <x:font>
        <x:b/>
        <x:color rgb="FF1F1F1F"/>
      </x:font>
      <x:fill>
        <x:patternFill>
          <x:bgColor indexed="64"/>
        </x:patternFill>
      </x:fill>
    </x:dxf>
    <x:dxf>
      <x:font>
        <x:b/>
        <x:color rgb="FF7F6000"/>
      </x:font>
      <x:fill>
        <x:patternFill>
          <x:bgColor indexed="64"/>
        </x:patternFill>
      </x:fill>
    </x:dxf>
    <x:dxf>
      <x:font>
        <x:b/>
        <x:color rgb="FFFFFFFF"/>
      </x:font>
      <x:fill>
        <x:patternFill>
          <x:bgColor indexed="64"/>
        </x:patternFill>
      </x:fill>
    </x:dxf>
    <x:dxf>
      <x:font>
        <x:b/>
        <x:color rgb="FFFFFFFF"/>
      </x:font>
      <x:fill>
        <x:patternFill>
          <x:bgColor indexed="64"/>
        </x:patternFill>
      </x:fill>
    </x:dxf>
    <x:dxf>
      <x:font>
        <x:color rgb="FF666666"/>
      </x:font>
      <x:fill>
        <x:patternFill>
          <x:bgColor indexed="64"/>
        </x:patternFill>
      </x:fill>
    </x:dxf>
    <x:dxf>
      <x:font>
        <x:b/>
        <x:color rgb="FFC00000"/>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965aba0d7a4c79" /><Relationship Type="http://schemas.openxmlformats.org/officeDocument/2006/relationships/theme" Target="/xl/theme/theme1.xml" Id="Ra128fe7f769c436e" /><Relationship Type="http://schemas.openxmlformats.org/officeDocument/2006/relationships/sheetMetadata" Target="/xl/metadata1.xml" Id="R2de060aa43074819" /><Relationship Type="http://schemas.openxmlformats.org/officeDocument/2006/relationships/sharedStrings" Target="/xl/sharedStrings.xml" Id="R401a55264e564a2c" /><Relationship Type="http://schemas.openxmlformats.org/officeDocument/2006/relationships/worksheet" Target="/xl/worksheets/sheet1.xml" Id="R102bc603a8d64eb5" /><Relationship Type="http://schemas.openxmlformats.org/officeDocument/2006/relationships/worksheet" Target="/xl/worksheets/sheet2.xml" Id="R92323633d1c24596" /><Relationship Type="http://schemas.openxmlformats.org/officeDocument/2006/relationships/worksheet" Target="/xl/worksheets/sheet3.xml" Id="Re815057a11594fd9" /><Relationship Type="http://schemas.openxmlformats.org/officeDocument/2006/relationships/worksheet" Target="/xl/worksheets/sheet4.xml" Id="R513c0cdca37e4208" /><Relationship Type="http://schemas.openxmlformats.org/officeDocument/2006/relationships/worksheet" Target="/xl/worksheets/sheet5.xml" Id="Rb06a40886d014fa8" /><Relationship Type="http://schemas.microsoft.com/office/2017/10/relationships/person" Target="/xl/persons/person.xml" Id="R346e4972bd7749b6" /></Relationships>
</file>

<file path=xl/persons/person.xml><?xml version="1.0" encoding="utf-8"?>
<xltc:personList xmlns:xltc="http://schemas.microsoft.com/office/spreadsheetml/2018/threadedcomments">
  <xltc:person displayName="Joshua Duquette" id="{96F609AA-0A92-F597-F2C5-99570C32B524}"/>
  <xltc:person displayName="Joshua Duquette" id="{204950CB-A12E-4C8D-0F3A-22CE994AC0D2}"/>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7dbfc071168c44e5" /><Relationship Type="http://schemas.openxmlformats.org/officeDocument/2006/relationships/vmlDrawing" Target="/xl/drawings/vmldrawing.vml" Id="R49fb88e8c4cf4486" /></Relationships>
</file>

<file path=xl/worksheets/_rels/sheet4.xml.rels>&#65279;<?xml version="1.0" encoding="utf-8"?><Relationships xmlns="http://schemas.openxmlformats.org/package/2006/relationships"><Relationship Type="http://schemas.openxmlformats.org/officeDocument/2006/relationships/comments" Target="/xl/comments2.xml" Id="R0e6d29a44fbf48e9" /><Relationship Type="http://schemas.openxmlformats.org/officeDocument/2006/relationships/vmlDrawing" Target="/xl/drawings/vmldrawing2.vml" Id="Rb3a50d732f794a85" /></Relationships>
</file>

<file path=xl/worksheets/sheet1.xml><?xml version="1.0" encoding="utf-8"?>
<x:worksheet xmlns:x="http://schemas.openxmlformats.org/spreadsheetml/2006/main">
  <x:sheetViews>
    <x:sheetView showGridLines="0" workbookViewId="0"/>
  </x:sheetViews>
  <x:sheetFormatPr baseColWidth="10" defaultColWidth="11" defaultRowHeight="16"/>
  <x:cols>
    <x:col min="2" max="2" width="48.5" customWidth="1"/>
    <x:col min="3" max="3" width="62.83203125" customWidth="1"/>
    <x:col min="4" max="4" width="47.33203125" style="352" customWidth="1"/>
    <x:col min="5" max="5" width="13.6640625" customWidth="1"/>
    <x:col min="6" max="6" width="12.6640625" customWidth="1"/>
    <x:col min="7" max="7" width="19.1640625" customWidth="1"/>
    <x:col min="8" max="8" width="14.33203125" customWidth="1"/>
    <x:col min="9" max="9" width="16.6640625" customWidth="1"/>
    <x:col min="10" max="10" width="28.6640625" customWidth="1"/>
    <x:col min="11" max="11" width="14.6640625" customWidth="1"/>
    <x:col min="12" max="12" width="146.5" customWidth="1"/>
  </x:cols>
  <x:sheetData>
    <x:row r="1" ht="17"/>
    <x:row r="2" ht="24" customHeight="1">
      <x:c r="B2" s="401" t="s">
        <x:v>0</x:v>
      </x:c>
      <x:c r="C2" s="402"/>
      <x:c r="D2" s="403"/>
      <x:c r="E2" s="404"/>
      <x:c r="F2" s="405"/>
      <x:c r="G2" s="406"/>
      <x:c r="H2" s="407"/>
      <x:c r="I2" s="404"/>
      <x:c r="J2" s="402"/>
      <x:c r="K2" s="402"/>
      <x:c r="L2" s="408"/>
    </x:row>
    <x:row r="3" ht="20" customHeight="1">
      <x:c r="B3" s="308" t="s">
        <x:v>1</x:v>
      </x:c>
      <x:c r="C3" s="310" t="s">
        <x:v>2</x:v>
      </x:c>
      <x:c r="D3" s="257"/>
      <x:c r="E3" s="409" t="s">
        <x:v>3</x:v>
      </x:c>
      <x:c r="F3" s="410"/>
      <x:c r="G3" s="411"/>
      <x:c r="H3" s="412"/>
      <x:c r="I3" s="413"/>
      <x:c r="J3" s="414"/>
      <x:c r="K3" s="414"/>
      <x:c r="L3" s="415"/>
    </x:row>
    <x:row r="4" ht="20" customHeight="1">
      <x:c r="B4" s="309" t="s">
        <x:v>4</x:v>
      </x:c>
      <x:c r="C4" s="311">
        <x:v>46100</x:v>
      </x:c>
      <x:c r="D4" s="228"/>
      <x:c r="E4" s="322" t="s">
        <x:v>5</x:v>
      </x:c>
      <x:c r="F4" s="321"/>
      <x:c r="G4" s="320"/>
      <x:c r="H4" s="319"/>
      <x:c r="I4" s="416" t="s">
        <x:v>6</x:v>
      </x:c>
      <x:c r="J4" s="417"/>
      <x:c r="K4" s="318"/>
      <x:c r="L4" s="317" t="s">
        <x:v>7</x:v>
      </x:c>
    </x:row>
    <x:row r="5" ht="77" customHeight="1">
      <x:c r="B5" s="420" t="s">
        <x:v>8</x:v>
      </x:c>
      <x:c r="C5" s="399" t="s">
        <x:v>9</x:v>
      </x:c>
      <x:c r="D5" s="428" t="s">
        <x:v>10</x:v>
      </x:c>
      <x:c r="E5" s="423" t="s">
        <x:v>11</x:v>
      </x:c>
      <x:c r="F5" s="426" t="s">
        <x:v>12</x:v>
      </x:c>
      <x:c r="G5" s="316" t="s">
        <x:v>13</x:v>
      </x:c>
      <x:c r="H5" s="315" t="s">
        <x:v>14</x:v>
      </x:c>
      <x:c r="I5" s="423" t="s">
        <x:v>15</x:v>
      </x:c>
      <x:c r="J5" s="399" t="s">
        <x:v>16</x:v>
      </x:c>
      <x:c r="K5" s="399" t="s">
        <x:v>17</x:v>
      </x:c>
      <x:c r="L5" s="418" t="s">
        <x:v>18</x:v>
      </x:c>
    </x:row>
    <x:row r="6">
      <x:c r="B6" s="421"/>
      <x:c r="C6" s="422"/>
      <x:c r="D6" s="400"/>
      <x:c r="E6" s="424"/>
      <x:c r="F6" s="427"/>
      <x:c r="G6" s="219"/>
      <x:c r="H6" s="220"/>
      <x:c r="I6" s="425"/>
      <x:c r="J6" s="422"/>
      <x:c r="K6" s="400"/>
      <x:c r="L6" s="419"/>
    </x:row>
    <x:row r="7">
      <x:c r="B7" s="247" t="s">
        <x:v>19</x:v>
      </x:c>
      <x:c r="C7" s="246"/>
      <x:c r="D7" s="246"/>
      <x:c r="E7" s="245"/>
      <x:c r="F7" s="244"/>
      <x:c r="G7" s="243"/>
      <x:c r="H7" s="242"/>
      <x:c r="I7" s="245"/>
      <x:c r="J7" s="246"/>
      <x:c r="K7" s="246"/>
      <x:c r="L7" s="256"/>
    </x:row>
    <x:row r="8" ht="16" customHeight="1">
      <x:c r="B8" s="240"/>
      <x:c r="C8" s="239" t="s">
        <x:v>20</x:v>
      </x:c>
      <x:c r="D8" s="239"/>
      <x:c r="E8" s="238"/>
      <x:c r="F8" s="237"/>
      <x:c r="G8" s="221"/>
      <x:c r="H8" s="222"/>
      <x:c r="I8" s="223" t="str">
        <x:f t="shared" ref="I8:I42" si="0">IF(OR(TRIM($C8)="",$E8=""),"",IF($F8="Percentile range",IFERROR(_xlfn.LET(_xlpm.rawTxt,SUBSTITUTE(SUBSTITUTE(SUBSTITUTE(SUBSTITUTE(SUBSTITUTE(TRIM($E8&amp;""),"%",""),"–","-"),"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8,_xlpm.mu,$G8,_xlpm.sd,$H8,_xlpm.x,IF(ISNUMBER($E8),$E8,IFERROR(_xlfn.NUMBERVALUE($E8,","," "),IFERROR(_xlfn.NUMBERVALUE($E8,".","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c>
      <x:c r="J8" s="231" t="str" cm="1">
        <x:f t="array" ref="J8">IF(OR(TRIM($C8)="",$E8=""),"",IF($F8="Descriptif","Mesure descriptive",IF($F8="Percentile range",IFERROR(_xlfn.LET(_xlpm.rawTxt,SUBSTITUTE(SUBSTITUTE(SUBSTITUTE(SUBSTITUTE(SUBSTITUTE(TRIM($E8&amp;""),"%",""),"–","-"),"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"&amp;_xlpm.highCat)),""),IFERROR(_xlfn.LET(_xlpm.z,IF(ISNUMBER($I8),$I8,IFERROR(_xlfn.NUMBERVALUE($I8,","," "),IFERROR(_xlfn.NUMBERVALUE($I8,"."," "),""))),IF(_xlpm.z="","",_xlfn.IFS(_xlpm.z&gt;=2,"très supérieur",_xlpm.z&gt;=1.33,"supérieur",_xlpm.z&gt;=0.67,"moyenne élevée",_xlpm.z&gt;=-0.7,"moyenne",_xlpm.z&gt;-1.4,"moyenne faible",_xlpm.z&gt;-2.1,"limite",TRUE,"extrêmement faible"))),""))))</x:f>
      </x:c>
      <x:c r="K8" s="230" t="str">
        <x:f t="shared" ref="K8:K39" si="1">IF(OR(TRIM($C8)="",$E8="",$F8="Descriptif"),"",IF($F8="Percentile range",IFERROR(_xlfn.LET(_xlpm.rawTxt,SUBSTITUTE(SUBSTITUTE(SUBSTITUTE(SUBSTITUTE(SUBSTITUTE(TRIM($E8&amp;""),"%",""),"–","-")," à ","-")," to ","-")," ",""),_xlpm.lowRaw,_xlfn.NUMBERVALUE(_xlfn.TEXTBEFORE(_xlpm.rawTxt,"-"),","," "),_xlpm.highRaw,_xlfn.NUMBERVALUE(_xlfn.TEXTAFTER(_xlpm.rawTxt,"-"),","," "),_xlpm.lowPct,MIN(_xlpm.lowRaw,_xlpm.highRaw),_xlpm.highPct,MAX(_xlpm.lowRaw,_xlpm.highRaw),_xlpm.lowTxt,IF(_xlpm.lowPct&lt;0.1,"&lt;0,1e",IF(_xlpm.lowPct=1,"1er",SUBSTITUTE(TEXT(_xlpm.lowPct,"0.0"),".",",")&amp;"e")),_xlpm.highTxt,IF(_xlpm.highPct&lt;0.1,"&lt;0,1e",IF(_xlpm.highPct=1,"1er",SUBSTITUTE(TEXT(_xlpm.highPct,"0.0"),".",",")&amp;"e")),_xlpm.lowTxt&amp;" à "&amp;_xlpm.highTxt),""),IFERROR(_xlfn.LET(_xlpm.m,$F8,_xlpm.mu,$G8,_xlpm.sd,$H8,_xlpm.x,IF(ISNUMBER($E8),$E8,IFERROR(_xlfn.NUMBERVALUE($E8,","," "),IFERROR(_xlfn.NUMBERVALUE($E8,".","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_xlfn.LET(_xlpm.rawP,_xlfn.NORM.S.DIST(_xlpm.z,TRUE)*100,_xlpm.p,MIN(99.9,ROUND(_xlpm.rawP,1)),IF(_xlpm.rawP&lt;0.1,"&lt;0,1e",IF(_xlpm.p=1,"1er",SUBSTITUTE(TEXT(_xlpm.p,"0.0"),".",",")&amp;"e"))))),"")))</x:f>
      </x:c>
      <x:c r="L8" s="236"/>
    </x:row>
    <x:row r="9" ht="16" customHeight="1">
      <x:c r="B9" s="235"/>
      <x:c r="C9" s="234" t="s">
        <x:v>21</x:v>
      </x:c>
      <x:c r="D9" s="234"/>
      <x:c r="E9" s="233">
        <x:v>42</x:v>
      </x:c>
      <x:c r="F9" s="232" t="s">
        <x:v>22</x:v>
      </x:c>
      <x:c r="G9" s="217"/>
      <x:c r="H9" s="218"/>
      <x:c r="I9" s="223" t="str">
        <x:f t="shared" si="0"/>
      </x:c>
      <x:c r="J9" s="231" t="str" cm="1">
        <x:f t="array" ref="J9">IF(OR(TRIM($C9)="",$E9=""),"",IF($F9="Descriptif","Mesure descriptive",IF($F9="Percentile range",IFERROR(_xlfn.LET(_xlpm.rawTxt,SUBSTITUTE(SUBSTITUTE(SUBSTITUTE(SUBSTITUTE(SUBSTITUTE(TRIM($E9&amp;""),"%",""),"–","-"),"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"&amp;_xlpm.highCat)),""),IFERROR(_xlfn.LET(_xlpm.z,IF(ISNUMBER($I9),$I9,IFERROR(_xlfn.NUMBERVALUE($I9,","," "),IFERROR(_xlfn.NUMBERVALUE($I9,"."," "),""))),IF(_xlpm.z="","",_xlfn.IFS(_xlpm.z&gt;=2,"très supérieur",_xlpm.z&gt;=1.33,"supérieur",_xlpm.z&gt;=0.67,"moyenne élevée",_xlpm.z&gt;=-0.7,"moyenne",_xlpm.z&gt;-1.4,"moyenne faible",_xlpm.z&gt;-2.1,"limite",TRUE,"extrêmement faible"))),""))))</x:f>
        <x:v>Mesure descriptive</x:v>
      </x:c>
      <x:c r="K9" s="230" t="str">
        <x:f t="shared" si="1"/>
      </x:c>
      <x:c r="L9" s="229"/>
    </x:row>
    <x:row r="10" ht="16" customHeight="1">
      <x:c r="B10" s="252"/>
      <x:c r="C10" s="251" t="s">
        <x:v>23</x:v>
      </x:c>
      <x:c r="D10" s="251"/>
      <x:c r="E10" s="250">
        <x:v>49</x:v>
      </x:c>
      <x:c r="F10" s="249" t="s">
        <x:v>22</x:v>
      </x:c>
      <x:c r="G10" s="224"/>
      <x:c r="H10" s="225"/>
      <x:c r="I10" s="223" t="str">
        <x:f t="shared" si="0"/>
      </x:c>
      <x:c r="J10" s="231" t="str" cm="1">
        <x:f t="array" ref="J10">IF(OR(TRIM($C10)="",$E10=""),"",IF($F10="Descriptif","Mesure descriptive",IF($F10="Percentile range",IFERROR(_xlfn.LET(_xlpm.rawTxt,SUBSTITUTE(SUBSTITUTE(SUBSTITUTE(SUBSTITUTE(SUBSTITUTE(TRIM($E10&amp;""),"%",""),"–","-"),"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"&amp;_xlpm.highCat)),""),IFERROR(_xlfn.LET(_xlpm.z,IF(ISNUMBER($I10),$I10,IFERROR(_xlfn.NUMBERVALUE($I10,","," "),IFERROR(_xlfn.NUMBERVALUE($I10,"."," "),""))),IF(_xlpm.z="","",_xlfn.IFS(_xlpm.z&gt;=2,"très supérieur",_xlpm.z&gt;=1.33,"supérieur",_xlpm.z&gt;=0.67,"moyenne élevée",_xlpm.z&gt;=-0.7,"moyenne",_xlpm.z&gt;-1.4,"moyenne faible",_xlpm.z&gt;-2.1,"limite",TRUE,"extrêmement faible"))),""))))</x:f>
        <x:v>Mesure descriptive</x:v>
      </x:c>
      <x:c r="K10" s="230" t="str">
        <x:f t="shared" si="1"/>
      </x:c>
      <x:c r="L10" s="248"/>
    </x:row>
    <x:row r="11" ht="16" customHeight="1">
      <x:c r="B11" s="247" t="s">
        <x:v>24</x:v>
      </x:c>
      <x:c r="C11" s="246"/>
      <x:c r="D11" s="246"/>
      <x:c r="E11" s="245"/>
      <x:c r="F11" s="244"/>
      <x:c r="G11" s="243"/>
      <x:c r="H11" s="242"/>
      <x:c r="I11" s="223" t="str">
        <x:f t="shared" si="0"/>
      </x:c>
      <x:c r="J11" s="231" t="str" cm="1">
        <x:f t="array" ref="J11">IF(OR(TRIM($C11)="",$E11=""),"",IF($F11="Descriptif","Mesure descriptive",IF($F11="Percentile range",IFERROR(_xlfn.LET(_xlpm.rawTxt,SUBSTITUTE(SUBSTITUTE(SUBSTITUTE(SUBSTITUTE(SUBSTITUTE(TRIM($E11&amp;""),"%",""),"–","-"),"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"&amp;_xlpm.highCat)),""),IFERROR(_xlfn.LET(_xlpm.z,IF(ISNUMBER($I11),$I11,IFERROR(_xlfn.NUMBERVALUE($I11,","," "),IFERROR(_xlfn.NUMBERVALUE($I11,"."," "),""))),IF(_xlpm.z="","",_xlfn.IFS(_xlpm.z&gt;=2,"très supérieur",_xlpm.z&gt;=1.33,"supérieur",_xlpm.z&gt;=0.67,"moyenne élevée",_xlpm.z&gt;=-0.7,"moyenne",_xlpm.z&gt;-1.4,"moyenne faible",_xlpm.z&gt;-2.1,"limite",TRUE,"extrêmement faible"))),""))))</x:f>
      </x:c>
      <x:c r="K11" s="230" t="str">
        <x:f t="shared" si="1"/>
      </x:c>
      <x:c r="L11" s="241"/>
    </x:row>
    <x:row r="12" ht="16" customHeight="1">
      <x:c r="B12" s="259"/>
      <x:c r="C12" s="260" t="s">
        <x:v>25</x:v>
      </x:c>
      <x:c r="D12" s="260"/>
      <x:c r="E12" s="261">
        <x:v>111</x:v>
      </x:c>
      <x:c r="F12" s="262" t="s">
        <x:v>26</x:v>
      </x:c>
      <x:c r="G12" s="226"/>
      <x:c r="H12" s="227"/>
      <x:c r="I12" s="223">
        <x:f t="shared" si="0"/>
        <x:v>0.73</x:v>
      </x:c>
      <x:c r="J12" s="231" t="str" cm="1">
        <x:f t="array" ref="J12">IF(OR(TRIM($C12)="",$E12=""),"",IF($F12="Descriptif","Mesure descriptive",IF($F12="Percentile range",IFERROR(_xlfn.LET(_xlpm.rawTxt,SUBSTITUTE(SUBSTITUTE(SUBSTITUTE(SUBSTITUTE(SUBSTITUTE(TRIM($E12&amp;""),"%",""),"–","-"),"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"&amp;_xlpm.highCat)),""),IFERROR(_xlfn.LET(_xlpm.z,IF(ISNUMBER($I12),$I12,IFERROR(_xlfn.NUMBERVALUE($I12,","," "),IFERROR(_xlfn.NUMBERVALUE($I12,"."," "),""))),IF(_xlpm.z="","",_xlfn.IFS(_xlpm.z&gt;=2,"très supérieur",_xlpm.z&gt;=1.33,"supérieur",_xlpm.z&gt;=0.67,"moyenne élevée",_xlpm.z&gt;=-0.7,"moyenne",_xlpm.z&gt;-1.4,"moyenne faible",_xlpm.z&gt;-2.1,"limite",TRUE,"extrêmement faible"))),""))))</x:f>
        <x:v>moyenne élevée</x:v>
      </x:c>
      <x:c r="K12" s="230" t="str">
        <x:f t="shared" si="1"/>
        <x:v>76,8e</x:v>
      </x:c>
      <x:c r="L12" s="258"/>
    </x:row>
    <x:row r="13" ht="16" customHeight="1">
      <x:c r="B13" s="247" t="s">
        <x:v>27</x:v>
      </x:c>
      <x:c r="C13" s="246"/>
      <x:c r="D13" s="246"/>
      <x:c r="E13" s="245"/>
      <x:c r="F13" s="244"/>
      <x:c r="G13" s="243"/>
      <x:c r="H13" s="242"/>
      <x:c r="I13" s="223" t="str">
        <x:f t="shared" si="0"/>
      </x:c>
      <x:c r="J13" s="231" t="str" cm="1">
        <x:f t="array" ref="J13">IF(OR(TRIM($C13)="",$E13=""),"",IF($F13="Descriptif","Mesure descriptive",IF($F13="Percentile range",IFERROR(_xlfn.LET(_xlpm.rawTxt,SUBSTITUTE(SUBSTITUTE(SUBSTITUTE(SUBSTITUTE(SUBSTITUTE(TRIM($E13&amp;""),"%",""),"–","-"),"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"&amp;_xlpm.highCat)),""),IFERROR(_xlfn.LET(_xlpm.z,IF(ISNUMBER($I13),$I13,IFERROR(_xlfn.NUMBERVALUE($I13,","," "),IFERROR(_xlfn.NUMBERVALUE($I13,"."," "),""))),IF(_xlpm.z="","",_xlfn.IFS(_xlpm.z&gt;=2,"très supérieur",_xlpm.z&gt;=1.33,"supérieur",_xlpm.z&gt;=0.67,"moyenne élevée",_xlpm.z&gt;=-0.7,"moyenne",_xlpm.z&gt;-1.4,"moyenne faible",_xlpm.z&gt;-2.1,"limite",TRUE,"extrêmement faible"))),""))))</x:f>
      </x:c>
      <x:c r="K13" s="230" t="str">
        <x:f t="shared" si="1"/>
      </x:c>
      <x:c r="L13" s="241"/>
    </x:row>
    <x:row r="14" ht="16" customHeight="1">
      <x:c r="B14" s="240"/>
      <x:c r="C14" s="254" t="s">
        <x:v>28</x:v>
      </x:c>
      <x:c r="D14" s="254"/>
      <x:c r="E14" s="238">
        <x:v>117</x:v>
      </x:c>
      <x:c r="F14" s="237" t="s">
        <x:v>26</x:v>
      </x:c>
      <x:c r="G14" s="221"/>
      <x:c r="H14" s="222"/>
      <x:c r="I14" s="223">
        <x:f t="shared" si="0"/>
        <x:v>1.1299999999999999</x:v>
      </x:c>
      <x:c r="J14" s="231" t="str" cm="1">
        <x:f t="array" ref="J14">IF(OR(TRIM($C14)="",$E14=""),"",IF($F14="Descriptif","Mesure descriptive",IF($F14="Percentile range",IFERROR(_xlfn.LET(_xlpm.rawTxt,SUBSTITUTE(SUBSTITUTE(SUBSTITUTE(SUBSTITUTE(SUBSTITUTE(TRIM($E14&amp;""),"%",""),"–","-"),"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"&amp;_xlpm.highCat)),""),IFERROR(_xlfn.LET(_xlpm.z,IF(ISNUMBER($I14),$I14,IFERROR(_xlfn.NUMBERVALUE($I14,","," "),IFERROR(_xlfn.NUMBERVALUE($I14,"."," "),""))),IF(_xlpm.z="","",_xlfn.IFS(_xlpm.z&gt;=2,"très supérieur",_xlpm.z&gt;=1.33,"supérieur",_xlpm.z&gt;=0.67,"moyenne élevée",_xlpm.z&gt;=-0.7,"moyenne",_xlpm.z&gt;-1.4,"moyenne faible",_xlpm.z&gt;-2.1,"limite",TRUE,"extrêmement faible"))),""))))</x:f>
        <x:v>moyenne élevée</x:v>
      </x:c>
      <x:c r="K14" s="230" t="str">
        <x:f t="shared" si="1"/>
        <x:v>87,1e</x:v>
      </x:c>
      <x:c r="L14" s="236"/>
    </x:row>
    <x:row r="15" ht="16" customHeight="1">
      <x:c r="B15" s="235"/>
      <x:c r="C15" s="234" t="s">
        <x:v>29</x:v>
      </x:c>
      <x:c r="D15" s="234" t="s">
        <x:v>30</x:v>
      </x:c>
      <x:c r="E15" s="233">
        <x:v>15</x:v>
      </x:c>
      <x:c r="F15" s="232" t="s">
        <x:v>31</x:v>
      </x:c>
      <x:c r="G15" s="217"/>
      <x:c r="H15" s="218"/>
      <x:c r="I15" s="223">
        <x:f t="shared" si="0"/>
        <x:v>1.67</x:v>
      </x:c>
      <x:c r="J15" s="231" t="str" cm="1">
        <x:f t="array" ref="J15">IF(OR(TRIM($C15)="",$E15=""),"",IF($F15="Descriptif","Mesure descriptive",IF($F15="Percentile range",IFERROR(_xlfn.LET(_xlpm.rawTxt,SUBSTITUTE(SUBSTITUTE(SUBSTITUTE(SUBSTITUTE(SUBSTITUTE(TRIM($E15&amp;""),"%",""),"–","-"),"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"&amp;_xlpm.highCat)),""),IFERROR(_xlfn.LET(_xlpm.z,IF(ISNUMBER($I15),$I15,IFERROR(_xlfn.NUMBERVALUE($I15,","," "),IFERROR(_xlfn.NUMBERVALUE($I15,"."," "),""))),IF(_xlpm.z="","",_xlfn.IFS(_xlpm.z&gt;=2,"très supérieur",_xlpm.z&gt;=1.33,"supérieur",_xlpm.z&gt;=0.67,"moyenne élevée",_xlpm.z&gt;=-0.7,"moyenne",_xlpm.z&gt;-1.4,"moyenne faible",_xlpm.z&gt;-2.1,"limite",TRUE,"extrêmement faible"))),""))))</x:f>
        <x:v>supérieur</x:v>
      </x:c>
      <x:c r="K15" s="230" t="str">
        <x:f t="shared" si="1"/>
        <x:v>95,2e</x:v>
      </x:c>
      <x:c r="L15" s="229"/>
    </x:row>
    <x:row r="16" ht="16" customHeight="1">
      <x:c r="B16" s="235"/>
      <x:c r="C16" s="234" t="s">
        <x:v>32</x:v>
      </x:c>
      <x:c r="D16" s="234" t="s">
        <x:v>33</x:v>
      </x:c>
      <x:c r="E16" s="233">
        <x:v>13</x:v>
      </x:c>
      <x:c r="F16" s="232" t="s">
        <x:v>31</x:v>
      </x:c>
      <x:c r="G16" s="217"/>
      <x:c r="H16" s="218"/>
      <x:c r="I16" s="223">
        <x:f t="shared" si="0"/>
        <x:v>1</x:v>
      </x:c>
      <x:c r="J16" s="231" t="str" cm="1">
        <x:f t="array" ref="J16">IF(OR(TRIM($C16)="",$E16=""),"",IF($F16="Descriptif","Mesure descriptive",IF($F16="Percentile range",IFERROR(_xlfn.LET(_xlpm.rawTxt,SUBSTITUTE(SUBSTITUTE(SUBSTITUTE(SUBSTITUTE(SUBSTITUTE(TRIM($E16&amp;""),"%",""),"–","-"),"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"&amp;_xlpm.highCat)),""),IFERROR(_xlfn.LET(_xlpm.z,IF(ISNUMBER($I16),$I16,IFERROR(_xlfn.NUMBERVALUE($I16,","," "),IFERROR(_xlfn.NUMBERVALUE($I16,"."," "),""))),IF(_xlpm.z="","",_xlfn.IFS(_xlpm.z&gt;=2,"très supérieur",_xlpm.z&gt;=1.33,"supérieur",_xlpm.z&gt;=0.67,"moyenne élevée",_xlpm.z&gt;=-0.7,"moyenne",_xlpm.z&gt;-1.4,"moyenne faible",_xlpm.z&gt;-2.1,"limite",TRUE,"extrêmement faible"))),""))))</x:f>
        <x:v>moyenne élevée</x:v>
      </x:c>
      <x:c r="K16" s="230" t="str">
        <x:f t="shared" si="1"/>
        <x:v>84,1e</x:v>
      </x:c>
      <x:c r="L16" s="229"/>
    </x:row>
    <x:row r="17" ht="16" customHeight="1">
      <x:c r="B17" s="252"/>
      <x:c r="C17" s="251" t="s">
        <x:v>34</x:v>
      </x:c>
      <x:c r="D17" s="251" t="s">
        <x:v>35</x:v>
      </x:c>
      <x:c r="E17" s="250">
        <x:v>11</x:v>
      </x:c>
      <x:c r="F17" s="249" t="s">
        <x:v>31</x:v>
      </x:c>
      <x:c r="G17" s="224"/>
      <x:c r="H17" s="225"/>
      <x:c r="I17" s="223">
        <x:f t="shared" si="0"/>
        <x:v>0.33</x:v>
      </x:c>
      <x:c r="J17" s="231" t="str" cm="1">
        <x:f t="array" ref="J17">IF(OR(TRIM($C17)="",$E17=""),"",IF($F17="Descriptif","Mesure descriptive",IF($F17="Percentile range",IFERROR(_xlfn.LET(_xlpm.rawTxt,SUBSTITUTE(SUBSTITUTE(SUBSTITUTE(SUBSTITUTE(SUBSTITUTE(TRIM($E17&amp;""),"%",""),"–","-"),"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"&amp;_xlpm.highCat)),""),IFERROR(_xlfn.LET(_xlpm.z,IF(ISNUMBER($I17),$I17,IFERROR(_xlfn.NUMBERVALUE($I17,","," "),IFERROR(_xlfn.NUMBERVALUE($I17,"."," "),""))),IF(_xlpm.z="","",_xlfn.IFS(_xlpm.z&gt;=2,"très supérieur",_xlpm.z&gt;=1.33,"supérieur",_xlpm.z&gt;=0.67,"moyenne élevée",_xlpm.z&gt;=-0.7,"moyenne",_xlpm.z&gt;-1.4,"moyenne faible",_xlpm.z&gt;-2.1,"limite",TRUE,"extrêmement faible"))),""))))</x:f>
        <x:v>moyenne</x:v>
      </x:c>
      <x:c r="K17" s="230" t="str">
        <x:f t="shared" si="1"/>
        <x:v>63,1e</x:v>
      </x:c>
      <x:c r="L17" s="248"/>
    </x:row>
    <x:row r="18" ht="16" customHeight="1">
      <x:c r="B18" s="247" t="s">
        <x:v>36</x:v>
      </x:c>
      <x:c r="C18" s="246"/>
      <x:c r="D18" s="246"/>
      <x:c r="E18" s="245"/>
      <x:c r="F18" s="244"/>
      <x:c r="G18" s="243"/>
      <x:c r="H18" s="242"/>
      <x:c r="I18" s="223" t="str">
        <x:f t="shared" si="0"/>
      </x:c>
      <x:c r="J18" s="231" t="str" cm="1">
        <x:f t="array" ref="J18">IF(OR(TRIM($C18)="",$E18=""),"",IF($F18="Descriptif","Mesure descriptive",IF($F18="Percentile range",IFERROR(_xlfn.LET(_xlpm.rawTxt,SUBSTITUTE(SUBSTITUTE(SUBSTITUTE(SUBSTITUTE(SUBSTITUTE(TRIM($E18&amp;""),"%",""),"–","-"),"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"&amp;_xlpm.highCat)),""),IFERROR(_xlfn.LET(_xlpm.z,IF(ISNUMBER($I18),$I18,IFERROR(_xlfn.NUMBERVALUE($I18,","," "),IFERROR(_xlfn.NUMBERVALUE($I18,"."," "),""))),IF(_xlpm.z="","",_xlfn.IFS(_xlpm.z&gt;=2,"très supérieur",_xlpm.z&gt;=1.33,"supérieur",_xlpm.z&gt;=0.67,"moyenne élevée",_xlpm.z&gt;=-0.7,"moyenne",_xlpm.z&gt;-1.4,"moyenne faible",_xlpm.z&gt;-2.1,"limite",TRUE,"extrêmement faible"))),""))))</x:f>
      </x:c>
      <x:c r="K18" s="230" t="str">
        <x:f t="shared" si="1"/>
      </x:c>
      <x:c r="L18" s="241"/>
    </x:row>
    <x:row r="19" ht="16" customHeight="1">
      <x:c r="B19" s="240"/>
      <x:c r="C19" s="254" t="s">
        <x:v>37</x:v>
      </x:c>
      <x:c r="D19" s="254"/>
      <x:c r="E19" s="238">
        <x:v>102</x:v>
      </x:c>
      <x:c r="F19" s="237" t="s">
        <x:v>26</x:v>
      </x:c>
      <x:c r="G19" s="221"/>
      <x:c r="H19" s="222"/>
      <x:c r="I19" s="223">
        <x:f t="shared" si="0"/>
        <x:v>0.13</x:v>
      </x:c>
      <x:c r="J19" s="231" t="str" cm="1">
        <x:f t="array" ref="J19">IF(OR(TRIM($C19)="",$E19=""),"",IF($F19="Descriptif","Mesure descriptive",IF($F19="Percentile range",IFERROR(_xlfn.LET(_xlpm.rawTxt,SUBSTITUTE(SUBSTITUTE(SUBSTITUTE(SUBSTITUTE(SUBSTITUTE(TRIM($E19&amp;""),"%",""),"–","-"),"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"&amp;_xlpm.highCat)),""),IFERROR(_xlfn.LET(_xlpm.z,IF(ISNUMBER($I19),$I19,IFERROR(_xlfn.NUMBERVALUE($I19,","," "),IFERROR(_xlfn.NUMBERVALUE($I19,"."," "),""))),IF(_xlpm.z="","",_xlfn.IFS(_xlpm.z&gt;=2,"très supérieur",_xlpm.z&gt;=1.33,"supérieur",_xlpm.z&gt;=0.67,"moyenne élevée",_xlpm.z&gt;=-0.7,"moyenne",_xlpm.z&gt;-1.4,"moyenne faible",_xlpm.z&gt;-2.1,"limite",TRUE,"extrêmement faible"))),""))))</x:f>
        <x:v>moyenne</x:v>
      </x:c>
      <x:c r="K19" s="230" t="str">
        <x:f t="shared" si="1"/>
        <x:v>55,3e</x:v>
      </x:c>
      <x:c r="L19" s="236"/>
    </x:row>
    <x:row r="20" ht="16" customHeight="1">
      <x:c r="B20" s="235"/>
      <x:c r="C20" s="234" t="s">
        <x:v>38</x:v>
      </x:c>
      <x:c r="D20" s="234" t="s">
        <x:v>39</x:v>
      </x:c>
      <x:c r="E20" s="233">
        <x:v>7</x:v>
      </x:c>
      <x:c r="F20" s="232" t="s">
        <x:v>31</x:v>
      </x:c>
      <x:c r="G20" s="217"/>
      <x:c r="H20" s="218"/>
      <x:c r="I20" s="223">
        <x:f t="shared" si="0"/>
        <x:v>-1</x:v>
      </x:c>
      <x:c r="J20" s="231" t="str" cm="1">
        <x:f t="array" ref="J20">IF(OR(TRIM($C20)="",$E20=""),"",IF($F20="Descriptif","Mesure descriptive",IF($F20="Percentile range",IFERROR(_xlfn.LET(_xlpm.rawTxt,SUBSTITUTE(SUBSTITUTE(SUBSTITUTE(SUBSTITUTE(SUBSTITUTE(TRIM($E20&amp;""),"%",""),"–","-"),"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"&amp;_xlpm.highCat)),""),IFERROR(_xlfn.LET(_xlpm.z,IF(ISNUMBER($I20),$I20,IFERROR(_xlfn.NUMBERVALUE($I20,","," "),IFERROR(_xlfn.NUMBERVALUE($I20,"."," "),""))),IF(_xlpm.z="","",_xlfn.IFS(_xlpm.z&gt;=2,"très supérieur",_xlpm.z&gt;=1.33,"supérieur",_xlpm.z&gt;=0.67,"moyenne élevée",_xlpm.z&gt;=-0.7,"moyenne",_xlpm.z&gt;-1.4,"moyenne faible",_xlpm.z&gt;-2.1,"limite",TRUE,"extrêmement faible"))),""))))</x:f>
        <x:v>moyenne faible</x:v>
      </x:c>
      <x:c r="K20" s="230" t="str">
        <x:f t="shared" si="1"/>
        <x:v>15,9e</x:v>
      </x:c>
      <x:c r="L20" s="229"/>
    </x:row>
    <x:row r="21" ht="16" customHeight="1">
      <x:c r="B21" s="235"/>
      <x:c r="C21" s="234" t="s">
        <x:v>40</x:v>
      </x:c>
      <x:c r="D21" s="234" t="s">
        <x:v>41</x:v>
      </x:c>
      <x:c r="E21" s="233">
        <x:v>12</x:v>
      </x:c>
      <x:c r="F21" s="232" t="s">
        <x:v>31</x:v>
      </x:c>
      <x:c r="G21" s="217"/>
      <x:c r="H21" s="218"/>
      <x:c r="I21" s="223">
        <x:f t="shared" si="0"/>
        <x:v>0.67</x:v>
      </x:c>
      <x:c r="J21" s="231" t="str" cm="1">
        <x:f t="array" ref="J21">IF(OR(TRIM($C21)="",$E21=""),"",IF($F21="Descriptif","Mesure descriptive",IF($F21="Percentile range",IFERROR(_xlfn.LET(_xlpm.rawTxt,SUBSTITUTE(SUBSTITUTE(SUBSTITUTE(SUBSTITUTE(SUBSTITUTE(TRIM($E21&amp;""),"%",""),"–","-"),"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"&amp;_xlpm.highCat)),""),IFERROR(_xlfn.LET(_xlpm.z,IF(ISNUMBER($I21),$I21,IFERROR(_xlfn.NUMBERVALUE($I21,","," "),IFERROR(_xlfn.NUMBERVALUE($I21,"."," "),""))),IF(_xlpm.z="","",_xlfn.IFS(_xlpm.z&gt;=2,"très supérieur",_xlpm.z&gt;=1.33,"supérieur",_xlpm.z&gt;=0.67,"moyenne élevée",_xlpm.z&gt;=-0.7,"moyenne",_xlpm.z&gt;-1.4,"moyenne faible",_xlpm.z&gt;-2.1,"limite",TRUE,"extrêmement faible"))),""))))</x:f>
        <x:v>moyenne élevée</x:v>
      </x:c>
      <x:c r="K21" s="230" t="str">
        <x:f t="shared" si="1"/>
        <x:v>74,8e</x:v>
      </x:c>
      <x:c r="L21" s="229"/>
    </x:row>
    <x:row r="22" ht="16" customHeight="1">
      <x:c r="B22" s="252"/>
      <x:c r="C22" s="251" t="s">
        <x:v>42</x:v>
      </x:c>
      <x:c r="D22" s="251" t="s">
        <x:v>43</x:v>
      </x:c>
      <x:c r="E22" s="250">
        <x:v>12</x:v>
      </x:c>
      <x:c r="F22" s="249" t="s">
        <x:v>31</x:v>
      </x:c>
      <x:c r="G22" s="224"/>
      <x:c r="H22" s="225"/>
      <x:c r="I22" s="223">
        <x:f t="shared" si="0"/>
        <x:v>0.67</x:v>
      </x:c>
      <x:c r="J22" s="231" t="str" cm="1">
        <x:f t="array" ref="J22">IF(OR(TRIM($C22)="",$E22=""),"",IF($F22="Descriptif","Mesure descriptive",IF($F22="Percentile range",IFERROR(_xlfn.LET(_xlpm.rawTxt,SUBSTITUTE(SUBSTITUTE(SUBSTITUTE(SUBSTITUTE(SUBSTITUTE(TRIM($E22&amp;""),"%",""),"–","-"),"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"&amp;_xlpm.highCat)),""),IFERROR(_xlfn.LET(_xlpm.z,IF(ISNUMBER($I22),$I22,IFERROR(_xlfn.NUMBERVALUE($I22,","," "),IFERROR(_xlfn.NUMBERVALUE($I22,"."," "),""))),IF(_xlpm.z="","",_xlfn.IFS(_xlpm.z&gt;=2,"très supérieur",_xlpm.z&gt;=1.33,"supérieur",_xlpm.z&gt;=0.67,"moyenne élevée",_xlpm.z&gt;=-0.7,"moyenne",_xlpm.z&gt;-1.4,"moyenne faible",_xlpm.z&gt;-2.1,"limite",TRUE,"extrêmement faible"))),""))))</x:f>
        <x:v>moyenne élevée</x:v>
      </x:c>
      <x:c r="K22" s="230" t="str">
        <x:f t="shared" si="1"/>
        <x:v>74,8e</x:v>
      </x:c>
      <x:c r="L22" s="248"/>
    </x:row>
    <x:row r="23" ht="16" customHeight="1">
      <x:c r="B23" s="247" t="s">
        <x:v>44</x:v>
      </x:c>
      <x:c r="C23" s="246"/>
      <x:c r="D23" s="246"/>
      <x:c r="E23" s="245"/>
      <x:c r="F23" s="244"/>
      <x:c r="G23" s="243"/>
      <x:c r="H23" s="242"/>
      <x:c r="I23" s="223" t="str">
        <x:f t="shared" si="0"/>
      </x:c>
      <x:c r="J23" s="231" t="str" cm="1">
        <x:f t="array" ref="J23">IF(OR(TRIM($C23)="",$E23=""),"",IF($F23="Descriptif","Mesure descriptive",IF($F23="Percentile range",IFERROR(_xlfn.LET(_xlpm.rawTxt,SUBSTITUTE(SUBSTITUTE(SUBSTITUTE(SUBSTITUTE(SUBSTITUTE(TRIM($E23&amp;""),"%",""),"–","-"),"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"&amp;_xlpm.highCat)),""),IFERROR(_xlfn.LET(_xlpm.z,IF(ISNUMBER($I23),$I23,IFERROR(_xlfn.NUMBERVALUE($I23,","," "),IFERROR(_xlfn.NUMBERVALUE($I23,"."," "),""))),IF(_xlpm.z="","",_xlfn.IFS(_xlpm.z&gt;=2,"très supérieur",_xlpm.z&gt;=1.33,"supérieur",_xlpm.z&gt;=0.67,"moyenne élevée",_xlpm.z&gt;=-0.7,"moyenne",_xlpm.z&gt;-1.4,"moyenne faible",_xlpm.z&gt;-2.1,"limite",TRUE,"extrêmement faible"))),""))))</x:f>
      </x:c>
      <x:c r="K23" s="230" t="str">
        <x:f t="shared" si="1"/>
      </x:c>
      <x:c r="L23" s="241"/>
    </x:row>
    <x:row r="24" ht="16" customHeight="1">
      <x:c r="B24" s="240"/>
      <x:c r="C24" s="255" t="s">
        <x:v>45</x:v>
      </x:c>
      <x:c r="D24" s="255"/>
      <x:c r="E24" s="238">
        <x:v>105</x:v>
      </x:c>
      <x:c r="F24" s="237" t="s">
        <x:v>26</x:v>
      </x:c>
      <x:c r="G24" s="221"/>
      <x:c r="H24" s="222"/>
      <x:c r="I24" s="223">
        <x:f t="shared" si="0"/>
        <x:v>0.33</x:v>
      </x:c>
      <x:c r="J24" s="231" t="str" cm="1">
        <x:f t="array" ref="J24">IF(OR(TRIM($C24)="",$E24=""),"",IF($F24="Descriptif","Mesure descriptive",IF($F24="Percentile range",IFERROR(_xlfn.LET(_xlpm.rawTxt,SUBSTITUTE(SUBSTITUTE(SUBSTITUTE(SUBSTITUTE(SUBSTITUTE(TRIM($E24&amp;""),"%",""),"–","-"),"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"&amp;_xlpm.highCat)),""),IFERROR(_xlfn.LET(_xlpm.z,IF(ISNUMBER($I24),$I24,IFERROR(_xlfn.NUMBERVALUE($I24,","," "),IFERROR(_xlfn.NUMBERVALUE($I24,"."," "),""))),IF(_xlpm.z="","",_xlfn.IFS(_xlpm.z&gt;=2,"très supérieur",_xlpm.z&gt;=1.33,"supérieur",_xlpm.z&gt;=0.67,"moyenne élevée",_xlpm.z&gt;=-0.7,"moyenne",_xlpm.z&gt;-1.4,"moyenne faible",_xlpm.z&gt;-2.1,"limite",TRUE,"extrêmement faible"))),""))))</x:f>
        <x:v>moyenne</x:v>
      </x:c>
      <x:c r="K24" s="230" t="str">
        <x:f t="shared" si="1"/>
        <x:v>63,1e</x:v>
      </x:c>
      <x:c r="L24" s="236"/>
    </x:row>
    <x:row r="25" ht="16" customHeight="1">
      <x:c r="B25" s="235"/>
      <x:c r="C25" s="253" t="s">
        <x:v>46</x:v>
      </x:c>
      <x:c r="D25" s="253" t="s">
        <x:v>47</x:v>
      </x:c>
      <x:c r="E25" s="233">
        <x:v>9</x:v>
      </x:c>
      <x:c r="F25" s="232" t="s">
        <x:v>31</x:v>
      </x:c>
      <x:c r="G25" s="217"/>
      <x:c r="H25" s="218"/>
      <x:c r="I25" s="223">
        <x:f t="shared" si="0"/>
        <x:v>-0.33</x:v>
      </x:c>
      <x:c r="J25" s="231" t="str" cm="1">
        <x:f t="array" ref="J25">IF(OR(TRIM($C25)="",$E25=""),"",IF($F25="Descriptif","Mesure descriptive",IF($F25="Percentile range",IFERROR(_xlfn.LET(_xlpm.rawTxt,SUBSTITUTE(SUBSTITUTE(SUBSTITUTE(SUBSTITUTE(SUBSTITUTE(TRIM($E25&amp;""),"%",""),"–","-"),"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"&amp;_xlpm.highCat)),""),IFERROR(_xlfn.LET(_xlpm.z,IF(ISNUMBER($I25),$I25,IFERROR(_xlfn.NUMBERVALUE($I25,","," "),IFERROR(_xlfn.NUMBERVALUE($I25,"."," "),""))),IF(_xlpm.z="","",_xlfn.IFS(_xlpm.z&gt;=2,"très supérieur",_xlpm.z&gt;=1.33,"supérieur",_xlpm.z&gt;=0.67,"moyenne élevée",_xlpm.z&gt;=-0.7,"moyenne",_xlpm.z&gt;-1.4,"moyenne faible",_xlpm.z&gt;-2.1,"limite",TRUE,"extrêmement faible"))),""))))</x:f>
        <x:v>moyenne</x:v>
      </x:c>
      <x:c r="K25" s="230" t="str">
        <x:f t="shared" si="1"/>
        <x:v>36,9e</x:v>
      </x:c>
      <x:c r="L25" s="229"/>
    </x:row>
    <x:row r="26" ht="16" customHeight="1">
      <x:c r="B26" s="235"/>
      <x:c r="C26" s="234" t="s">
        <x:v>48</x:v>
      </x:c>
      <x:c r="D26" s="234" t="s">
        <x:v>49</x:v>
      </x:c>
      <x:c r="E26" s="233">
        <x:v>8</x:v>
      </x:c>
      <x:c r="F26" s="232" t="s">
        <x:v>31</x:v>
      </x:c>
      <x:c r="G26" s="217"/>
      <x:c r="H26" s="218"/>
      <x:c r="I26" s="223">
        <x:f t="shared" si="0"/>
        <x:v>-0.67</x:v>
      </x:c>
      <x:c r="J26" s="231" t="str" cm="1">
        <x:f t="array" ref="J26">IF(OR(TRIM($C26)="",$E26=""),"",IF($F26="Descriptif","Mesure descriptive",IF($F26="Percentile range",IFERROR(_xlfn.LET(_xlpm.rawTxt,SUBSTITUTE(SUBSTITUTE(SUBSTITUTE(SUBSTITUTE(SUBSTITUTE(TRIM($E26&amp;""),"%",""),"–","-"),"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"&amp;_xlpm.highCat)),""),IFERROR(_xlfn.LET(_xlpm.z,IF(ISNUMBER($I26),$I26,IFERROR(_xlfn.NUMBERVALUE($I26,","," "),IFERROR(_xlfn.NUMBERVALUE($I26,"."," "),""))),IF(_xlpm.z="","",_xlfn.IFS(_xlpm.z&gt;=2,"très supérieur",_xlpm.z&gt;=1.33,"supérieur",_xlpm.z&gt;=0.67,"moyenne élevée",_xlpm.z&gt;=-0.7,"moyenne",_xlpm.z&gt;-1.4,"moyenne faible",_xlpm.z&gt;-2.1,"limite",TRUE,"extrêmement faible"))),""))))</x:f>
        <x:v>moyenne</x:v>
      </x:c>
      <x:c r="K26" s="230" t="str">
        <x:f t="shared" si="1"/>
        <x:v>25,2e</x:v>
      </x:c>
      <x:c r="L26" s="229"/>
    </x:row>
    <x:row r="27" ht="16" customHeight="1">
      <x:c r="B27" s="235"/>
      <x:c r="C27" s="234" t="s">
        <x:v>50</x:v>
      </x:c>
      <x:c r="D27" s="234" t="s">
        <x:v>51</x:v>
      </x:c>
      <x:c r="E27" s="233">
        <x:v>10</x:v>
      </x:c>
      <x:c r="F27" s="232" t="s">
        <x:v>31</x:v>
      </x:c>
      <x:c r="G27" s="217"/>
      <x:c r="H27" s="218"/>
      <x:c r="I27" s="223">
        <x:f t="shared" si="0"/>
        <x:v>0</x:v>
      </x:c>
      <x:c r="J27" s="231" t="str" cm="1">
        <x:f t="array" ref="J27">IF(OR(TRIM($C27)="",$E27=""),"",IF($F27="Descriptif","Mesure descriptive",IF($F27="Percentile range",IFERROR(_xlfn.LET(_xlpm.rawTxt,SUBSTITUTE(SUBSTITUTE(SUBSTITUTE(SUBSTITUTE(SUBSTITUTE(TRIM($E27&amp;""),"%",""),"–","-"),"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"&amp;_xlpm.highCat)),""),IFERROR(_xlfn.LET(_xlpm.z,IF(ISNUMBER($I27),$I27,IFERROR(_xlfn.NUMBERVALUE($I27,","," "),IFERROR(_xlfn.NUMBERVALUE($I27,"."," "),""))),IF(_xlpm.z="","",_xlfn.IFS(_xlpm.z&gt;=2,"très supérieur",_xlpm.z&gt;=1.33,"supérieur",_xlpm.z&gt;=0.67,"moyenne élevée",_xlpm.z&gt;=-0.7,"moyenne",_xlpm.z&gt;-1.4,"moyenne faible",_xlpm.z&gt;-2.1,"limite",TRUE,"extrêmement faible"))),""))))</x:f>
        <x:v>moyenne</x:v>
      </x:c>
      <x:c r="K27" s="230" t="str">
        <x:f t="shared" si="1"/>
        <x:v>50,0e</x:v>
      </x:c>
      <x:c r="L27" s="229"/>
    </x:row>
    <x:row r="28" ht="16" customHeight="1">
      <x:c r="B28" s="235"/>
      <x:c r="C28" s="234" t="s">
        <x:v>52</x:v>
      </x:c>
      <x:c r="D28" s="234" t="s">
        <x:v>53</x:v>
      </x:c>
      <x:c r="E28" s="233">
        <x:v>8</x:v>
      </x:c>
      <x:c r="F28" s="232" t="s">
        <x:v>31</x:v>
      </x:c>
      <x:c r="G28" s="217"/>
      <x:c r="H28" s="218"/>
      <x:c r="I28" s="223">
        <x:f t="shared" si="0"/>
        <x:v>-0.67</x:v>
      </x:c>
      <x:c r="J28" s="231" t="str" cm="1">
        <x:f t="array" ref="J28">IF(OR(TRIM($C28)="",$E28=""),"",IF($F28="Descriptif","Mesure descriptive",IF($F28="Percentile range",IFERROR(_xlfn.LET(_xlpm.rawTxt,SUBSTITUTE(SUBSTITUTE(SUBSTITUTE(SUBSTITUTE(SUBSTITUTE(TRIM($E28&amp;""),"%",""),"–","-"),"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"&amp;_xlpm.highCat)),""),IFERROR(_xlfn.LET(_xlpm.z,IF(ISNUMBER($I28),$I28,IFERROR(_xlfn.NUMBERVALUE($I28,","," "),IFERROR(_xlfn.NUMBERVALUE($I28,"."," "),""))),IF(_xlpm.z="","",_xlfn.IFS(_xlpm.z&gt;=2,"très supérieur",_xlpm.z&gt;=1.33,"supérieur",_xlpm.z&gt;=0.67,"moyenne élevée",_xlpm.z&gt;=-0.7,"moyenne",_xlpm.z&gt;-1.4,"moyenne faible",_xlpm.z&gt;-2.1,"limite",TRUE,"extrêmement faible"))),""))))</x:f>
        <x:v>moyenne</x:v>
      </x:c>
      <x:c r="K28" s="230" t="str">
        <x:f t="shared" si="1"/>
        <x:v>25,2e</x:v>
      </x:c>
      <x:c r="L28" s="229"/>
    </x:row>
    <x:row r="29" ht="16" customHeight="1">
      <x:c r="B29" s="252"/>
      <x:c r="C29" s="251" t="s">
        <x:v>54</x:v>
      </x:c>
      <x:c r="D29" s="251" t="s">
        <x:v>55</x:v>
      </x:c>
      <x:c r="E29" s="250">
        <x:v>13</x:v>
      </x:c>
      <x:c r="F29" s="249" t="s">
        <x:v>31</x:v>
      </x:c>
      <x:c r="G29" s="224"/>
      <x:c r="H29" s="225"/>
      <x:c r="I29" s="223">
        <x:f t="shared" si="0"/>
        <x:v>1</x:v>
      </x:c>
      <x:c r="J29" s="231" t="str" cm="1">
        <x:f t="array" ref="J29">IF(OR(TRIM($C29)="",$E29=""),"",IF($F29="Descriptif","Mesure descriptive",IF($F29="Percentile range",IFERROR(_xlfn.LET(_xlpm.rawTxt,SUBSTITUTE(SUBSTITUTE(SUBSTITUTE(SUBSTITUTE(SUBSTITUTE(TRIM($E29&amp;""),"%",""),"–","-"),"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"&amp;_xlpm.highCat)),""),IFERROR(_xlfn.LET(_xlpm.z,IF(ISNUMBER($I29),$I29,IFERROR(_xlfn.NUMBERVALUE($I29,","," "),IFERROR(_xlfn.NUMBERVALUE($I29,"."," "),""))),IF(_xlpm.z="","",_xlfn.IFS(_xlpm.z&gt;=2,"très supérieur",_xlpm.z&gt;=1.33,"supérieur",_xlpm.z&gt;=0.67,"moyenne élevée",_xlpm.z&gt;=-0.7,"moyenne",_xlpm.z&gt;-1.4,"moyenne faible",_xlpm.z&gt;-2.1,"limite",TRUE,"extrêmement faible"))),""))))</x:f>
        <x:v>moyenne élevée</x:v>
      </x:c>
      <x:c r="K29" s="230" t="str">
        <x:f t="shared" si="1"/>
        <x:v>84,1e</x:v>
      </x:c>
      <x:c r="L29" s="248"/>
    </x:row>
    <x:row r="30" ht="16" customHeight="1">
      <x:c r="B30" s="247" t="s">
        <x:v>56</x:v>
      </x:c>
      <x:c r="C30" s="246"/>
      <x:c r="D30" s="246"/>
      <x:c r="E30" s="245"/>
      <x:c r="F30" s="244"/>
      <x:c r="G30" s="243"/>
      <x:c r="H30" s="242"/>
      <x:c r="I30" s="223" t="str">
        <x:f t="shared" si="0"/>
      </x:c>
      <x:c r="J30" s="231" t="str" cm="1">
        <x:f t="array" ref="J30">IF(OR(TRIM($C30)="",$E30=""),"",IF($F30="Descriptif","Mesure descriptive",IF($F30="Percentile range",IFERROR(_xlfn.LET(_xlpm.rawTxt,SUBSTITUTE(SUBSTITUTE(SUBSTITUTE(SUBSTITUTE(SUBSTITUTE(TRIM($E30&amp;""),"%",""),"–","-"),"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"&amp;_xlpm.highCat)),""),IFERROR(_xlfn.LET(_xlpm.z,IF(ISNUMBER($I30),$I30,IFERROR(_xlfn.NUMBERVALUE($I30,","," "),IFERROR(_xlfn.NUMBERVALUE($I30,"."," "),""))),IF(_xlpm.z="","",_xlfn.IFS(_xlpm.z&gt;=2,"très supérieur",_xlpm.z&gt;=1.33,"supérieur",_xlpm.z&gt;=0.67,"moyenne élevée",_xlpm.z&gt;=-0.7,"moyenne",_xlpm.z&gt;-1.4,"moyenne faible",_xlpm.z&gt;-2.1,"limite",TRUE,"extrêmement faible"))),""))))</x:f>
      </x:c>
      <x:c r="K30" s="230" t="str">
        <x:f t="shared" si="1"/>
      </x:c>
      <x:c r="L30" s="241"/>
    </x:row>
    <x:row r="31" ht="16" customHeight="1">
      <x:c r="B31" s="240"/>
      <x:c r="C31" s="254" t="s">
        <x:v>57</x:v>
      </x:c>
      <x:c r="D31" s="254"/>
      <x:c r="E31" s="238">
        <x:v>109</x:v>
      </x:c>
      <x:c r="F31" s="237" t="s">
        <x:v>26</x:v>
      </x:c>
      <x:c r="G31" s="221"/>
      <x:c r="H31" s="222"/>
      <x:c r="I31" s="223">
        <x:f t="shared" si="0"/>
        <x:v>0.6</x:v>
      </x:c>
      <x:c r="J31" s="231" t="str" cm="1">
        <x:f t="array" ref="J31">IF(OR(TRIM($C31)="",$E31=""),"",IF($F31="Descriptif","Mesure descriptive",IF($F31="Percentile range",IFERROR(_xlfn.LET(_xlpm.rawTxt,SUBSTITUTE(SUBSTITUTE(SUBSTITUTE(SUBSTITUTE(SUBSTITUTE(TRIM($E31&amp;""),"%",""),"–","-"),"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"&amp;_xlpm.highCat)),""),IFERROR(_xlfn.LET(_xlpm.z,IF(ISNUMBER($I31),$I31,IFERROR(_xlfn.NUMBERVALUE($I31,","," "),IFERROR(_xlfn.NUMBERVALUE($I31,"."," "),""))),IF(_xlpm.z="","",_xlfn.IFS(_xlpm.z&gt;=2,"très supérieur",_xlpm.z&gt;=1.33,"supérieur",_xlpm.z&gt;=0.67,"moyenne élevée",_xlpm.z&gt;=-0.7,"moyenne",_xlpm.z&gt;-1.4,"moyenne faible",_xlpm.z&gt;-2.1,"limite",TRUE,"extrêmement faible"))),""))))</x:f>
        <x:v>moyenne</x:v>
      </x:c>
      <x:c r="K31" s="230" t="str">
        <x:f t="shared" si="1"/>
        <x:v>72,6e</x:v>
      </x:c>
      <x:c r="L31" s="236"/>
    </x:row>
    <x:row r="32" ht="16" customHeight="1">
      <x:c r="B32" s="235"/>
      <x:c r="C32" s="234" t="s">
        <x:v>58</x:v>
      </x:c>
      <x:c r="D32" s="234" t="s">
        <x:v>59</x:v>
      </x:c>
      <x:c r="E32" s="233">
        <x:v>12</x:v>
      </x:c>
      <x:c r="F32" s="232" t="s">
        <x:v>31</x:v>
      </x:c>
      <x:c r="G32" s="217"/>
      <x:c r="H32" s="218"/>
      <x:c r="I32" s="223">
        <x:f t="shared" si="0"/>
        <x:v>0.67</x:v>
      </x:c>
      <x:c r="J32" s="231" t="str" cm="1">
        <x:f t="array" ref="J32">IF(OR(TRIM($C32)="",$E32=""),"",IF($F32="Descriptif","Mesure descriptive",IF($F32="Percentile range",IFERROR(_xlfn.LET(_xlpm.rawTxt,SUBSTITUTE(SUBSTITUTE(SUBSTITUTE(SUBSTITUTE(SUBSTITUTE(TRIM($E32&amp;""),"%",""),"–","-"),"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"&amp;_xlpm.highCat)),""),IFERROR(_xlfn.LET(_xlpm.z,IF(ISNUMBER($I32),$I32,IFERROR(_xlfn.NUMBERVALUE($I32,","," "),IFERROR(_xlfn.NUMBERVALUE($I32,"."," "),""))),IF(_xlpm.z="","",_xlfn.IFS(_xlpm.z&gt;=2,"très supérieur",_xlpm.z&gt;=1.33,"supérieur",_xlpm.z&gt;=0.67,"moyenne élevée",_xlpm.z&gt;=-0.7,"moyenne",_xlpm.z&gt;-1.4,"moyenne faible",_xlpm.z&gt;-2.1,"limite",TRUE,"extrêmement faible"))),""))))</x:f>
        <x:v>moyenne élevée</x:v>
      </x:c>
      <x:c r="K32" s="230" t="str">
        <x:f t="shared" si="1"/>
        <x:v>74,8e</x:v>
      </x:c>
      <x:c r="L32" s="229"/>
    </x:row>
    <x:row r="33" ht="16" customHeight="1">
      <x:c r="B33" s="235"/>
      <x:c r="C33" s="234" t="s">
        <x:v>60</x:v>
      </x:c>
      <x:c r="D33" s="234" t="s">
        <x:v>61</x:v>
      </x:c>
      <x:c r="E33" s="233">
        <x:v>11</x:v>
      </x:c>
      <x:c r="F33" s="232" t="s">
        <x:v>31</x:v>
      </x:c>
      <x:c r="G33" s="217"/>
      <x:c r="H33" s="218"/>
      <x:c r="I33" s="223">
        <x:f t="shared" si="0"/>
        <x:v>0.33</x:v>
      </x:c>
      <x:c r="J33" s="231" t="str" cm="1">
        <x:f t="array" ref="J33">IF(OR(TRIM($C33)="",$E33=""),"",IF($F33="Descriptif","Mesure descriptive",IF($F33="Percentile range",IFERROR(_xlfn.LET(_xlpm.rawTxt,SUBSTITUTE(SUBSTITUTE(SUBSTITUTE(SUBSTITUTE(SUBSTITUTE(TRIM($E33&amp;""),"%",""),"–","-"),"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"&amp;_xlpm.highCat)),""),IFERROR(_xlfn.LET(_xlpm.z,IF(ISNUMBER($I33),$I33,IFERROR(_xlfn.NUMBERVALUE($I33,","," "),IFERROR(_xlfn.NUMBERVALUE($I33,"."," "),""))),IF(_xlpm.z="","",_xlfn.IFS(_xlpm.z&gt;=2,"très supérieur",_xlpm.z&gt;=1.33,"supérieur",_xlpm.z&gt;=0.67,"moyenne élevée",_xlpm.z&gt;=-0.7,"moyenne",_xlpm.z&gt;-1.4,"moyenne faible",_xlpm.z&gt;-2.1,"limite",TRUE,"extrêmement faible"))),""))))</x:f>
        <x:v>moyenne</x:v>
      </x:c>
      <x:c r="K33" s="230" t="str">
        <x:f t="shared" si="1"/>
        <x:v>63,1e</x:v>
      </x:c>
      <x:c r="L33" s="229"/>
    </x:row>
    <x:row r="34" ht="16" customHeight="1">
      <x:c r="B34" s="235"/>
      <x:c r="C34" s="253" t="s">
        <x:v>62</x:v>
      </x:c>
      <x:c r="D34" s="253" t="s">
        <x:v>63</x:v>
      </x:c>
      <x:c r="E34" s="233">
        <x:v>11</x:v>
      </x:c>
      <x:c r="F34" s="232" t="s">
        <x:v>31</x:v>
      </x:c>
      <x:c r="G34" s="217"/>
      <x:c r="H34" s="218"/>
      <x:c r="I34" s="223">
        <x:f t="shared" si="0"/>
        <x:v>0.33</x:v>
      </x:c>
      <x:c r="J34" s="231" t="str" cm="1">
        <x:f t="array" ref="J34">IF(OR(TRIM($C34)="",$E34=""),"",IF($F34="Descriptif","Mesure descriptive",IF($F34="Percentile range",IFERROR(_xlfn.LET(_xlpm.rawTxt,SUBSTITUTE(SUBSTITUTE(SUBSTITUTE(SUBSTITUTE(SUBSTITUTE(TRIM($E34&amp;""),"%",""),"–","-"),"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"&amp;_xlpm.highCat)),""),IFERROR(_xlfn.LET(_xlpm.z,IF(ISNUMBER($I34),$I34,IFERROR(_xlfn.NUMBERVALUE($I34,","," "),IFERROR(_xlfn.NUMBERVALUE($I34,"."," "),""))),IF(_xlpm.z="","",_xlfn.IFS(_xlpm.z&gt;=2,"très supérieur",_xlpm.z&gt;=1.33,"supérieur",_xlpm.z&gt;=0.67,"moyenne élevée",_xlpm.z&gt;=-0.7,"moyenne",_xlpm.z&gt;-1.4,"moyenne faible",_xlpm.z&gt;-2.1,"limite",TRUE,"extrêmement faible"))),""))))</x:f>
        <x:v>moyenne</x:v>
      </x:c>
      <x:c r="K34" s="230" t="str">
        <x:f t="shared" si="1"/>
        <x:v>63,1e</x:v>
      </x:c>
      <x:c r="L34" s="229"/>
    </x:row>
    <x:row r="35" ht="16" customHeight="1">
      <x:c r="B35" s="235"/>
      <x:c r="C35" s="234" t="s">
        <x:v>64</x:v>
      </x:c>
      <x:c r="D35" s="234" t="s">
        <x:v>65</x:v>
      </x:c>
      <x:c r="E35" s="233">
        <x:v>9</x:v>
      </x:c>
      <x:c r="F35" s="232" t="s">
        <x:v>31</x:v>
      </x:c>
      <x:c r="G35" s="217"/>
      <x:c r="H35" s="218"/>
      <x:c r="I35" s="223">
        <x:f t="shared" si="0"/>
        <x:v>-0.33</x:v>
      </x:c>
      <x:c r="J35" s="231" t="str" cm="1">
        <x:f t="array" ref="J35">IF(OR(TRIM($C35)="",$E35=""),"",IF($F35="Descriptif","Mesure descriptive",IF($F35="Percentile range",IFERROR(_xlfn.LET(_xlpm.rawTxt,SUBSTITUTE(SUBSTITUTE(SUBSTITUTE(SUBSTITUTE(SUBSTITUTE(TRIM($E35&amp;""),"%",""),"–","-"),"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"&amp;_xlpm.highCat)),""),IFERROR(_xlfn.LET(_xlpm.z,IF(ISNUMBER($I35),$I35,IFERROR(_xlfn.NUMBERVALUE($I35,","," "),IFERROR(_xlfn.NUMBERVALUE($I35,"."," "),""))),IF(_xlpm.z="","",_xlfn.IFS(_xlpm.z&gt;=2,"très supérieur",_xlpm.z&gt;=1.33,"supérieur",_xlpm.z&gt;=0.67,"moyenne élevée",_xlpm.z&gt;=-0.7,"moyenne",_xlpm.z&gt;-1.4,"moyenne faible",_xlpm.z&gt;-2.1,"limite",TRUE,"extrêmement faible"))),""))))</x:f>
        <x:v>moyenne</x:v>
      </x:c>
      <x:c r="K35" s="230" t="str">
        <x:f t="shared" si="1"/>
        <x:v>36,9e</x:v>
      </x:c>
      <x:c r="L35" s="229"/>
    </x:row>
    <x:row r="36" ht="16" customHeight="1">
      <x:c r="B36" s="252"/>
      <x:c r="C36" s="251" t="s">
        <x:v>66</x:v>
      </x:c>
      <x:c r="D36" s="251" t="s">
        <x:v>67</x:v>
      </x:c>
      <x:c r="E36" s="250">
        <x:v>12</x:v>
      </x:c>
      <x:c r="F36" s="249" t="s">
        <x:v>31</x:v>
      </x:c>
      <x:c r="G36" s="224"/>
      <x:c r="H36" s="225"/>
      <x:c r="I36" s="223">
        <x:f t="shared" si="0"/>
        <x:v>0.67</x:v>
      </x:c>
      <x:c r="J36" s="231" t="str" cm="1">
        <x:f t="array" ref="J36">IF(OR(TRIM($C36)="",$E36=""),"",IF($F36="Descriptif","Mesure descriptive",IF($F36="Percentile range",IFERROR(_xlfn.LET(_xlpm.rawTxt,SUBSTITUTE(SUBSTITUTE(SUBSTITUTE(SUBSTITUTE(SUBSTITUTE(TRIM($E36&amp;""),"%",""),"–","-"),"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"&amp;_xlpm.highCat)),""),IFERROR(_xlfn.LET(_xlpm.z,IF(ISNUMBER($I36),$I36,IFERROR(_xlfn.NUMBERVALUE($I36,","," "),IFERROR(_xlfn.NUMBERVALUE($I36,"."," "),""))),IF(_xlpm.z="","",_xlfn.IFS(_xlpm.z&gt;=2,"très supérieur",_xlpm.z&gt;=1.33,"supérieur",_xlpm.z&gt;=0.67,"moyenne élevée",_xlpm.z&gt;=-0.7,"moyenne",_xlpm.z&gt;-1.4,"moyenne faible",_xlpm.z&gt;-2.1,"limite",TRUE,"extrêmement faible"))),""))))</x:f>
        <x:v>moyenne élevée</x:v>
      </x:c>
      <x:c r="K36" s="230" t="str">
        <x:f t="shared" si="1"/>
        <x:v>74,8e</x:v>
      </x:c>
      <x:c r="L36" s="248"/>
    </x:row>
    <x:row r="37" ht="16" customHeight="1">
      <x:c r="B37" s="247" t="s">
        <x:v>68</x:v>
      </x:c>
      <x:c r="C37" s="246"/>
      <x:c r="D37" s="246"/>
      <x:c r="E37" s="245"/>
      <x:c r="F37" s="244"/>
      <x:c r="G37" s="243"/>
      <x:c r="H37" s="242"/>
      <x:c r="I37" s="223" t="str">
        <x:f t="shared" si="0"/>
      </x:c>
      <x:c r="J37" s="231" t="str" cm="1">
        <x:f t="array" ref="J37">IF(OR(TRIM($C37)="",$E37=""),"",IF($F37="Descriptif","Mesure descriptive",IF($F37="Percentile range",IFERROR(_xlfn.LET(_xlpm.rawTxt,SUBSTITUTE(SUBSTITUTE(SUBSTITUTE(SUBSTITUTE(SUBSTITUTE(TRIM($E37&amp;""),"%",""),"–","-"),"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"&amp;_xlpm.highCat)),""),IFERROR(_xlfn.LET(_xlpm.z,IF(ISNUMBER($I37),$I37,IFERROR(_xlfn.NUMBERVALUE($I37,","," "),IFERROR(_xlfn.NUMBERVALUE($I37,"."," "),""))),IF(_xlpm.z="","",_xlfn.IFS(_xlpm.z&gt;=2,"très supérieur",_xlpm.z&gt;=1.33,"supérieur",_xlpm.z&gt;=0.67,"moyenne élevée",_xlpm.z&gt;=-0.7,"moyenne",_xlpm.z&gt;-1.4,"moyenne faible",_xlpm.z&gt;-2.1,"limite",TRUE,"extrêmement faible"))),""))))</x:f>
      </x:c>
      <x:c r="K37" s="230" t="str">
        <x:f t="shared" si="1"/>
      </x:c>
      <x:c r="L37" s="241"/>
    </x:row>
    <x:row r="38" ht="16" customHeight="1">
      <x:c r="B38" s="240"/>
      <x:c r="C38" s="239" t="s">
        <x:v>69</x:v>
      </x:c>
      <x:c r="D38" s="239" t="s">
        <x:v>70</x:v>
      </x:c>
      <x:c r="E38" s="238"/>
      <x:c r="F38" s="237"/>
      <x:c r="G38" s="221"/>
      <x:c r="H38" s="222"/>
      <x:c r="I38" s="223" t="str">
        <x:f t="shared" si="0"/>
      </x:c>
      <x:c r="J38" s="231" t="str" cm="1">
        <x:f t="array" ref="J38">IF(OR(TRIM($C38)="",$E38=""),"",IF($F38="Descriptif","Mesure descriptive",IF($F38="Percentile range",IFERROR(_xlfn.LET(_xlpm.rawTxt,SUBSTITUTE(SUBSTITUTE(SUBSTITUTE(SUBSTITUTE(SUBSTITUTE(TRIM($E38&amp;""),"%",""),"–","-"),"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"&amp;_xlpm.highCat)),""),IFERROR(_xlfn.LET(_xlpm.z,IF(ISNUMBER($I38),$I38,IFERROR(_xlfn.NUMBERVALUE($I38,","," "),IFERROR(_xlfn.NUMBERVALUE($I38,"."," "),""))),IF(_xlpm.z="","",_xlfn.IFS(_xlpm.z&gt;=2,"très supérieur",_xlpm.z&gt;=1.33,"supérieur",_xlpm.z&gt;=0.67,"moyenne élevée",_xlpm.z&gt;=-0.7,"moyenne",_xlpm.z&gt;-1.4,"moyenne faible",_xlpm.z&gt;-2.1,"limite",TRUE,"extrêmement faible"))),""))))</x:f>
      </x:c>
      <x:c r="K38" s="230" t="str">
        <x:f t="shared" si="1"/>
      </x:c>
      <x:c r="L38" s="236"/>
    </x:row>
    <x:row r="39" ht="16" customHeight="1">
      <x:c r="B39" s="235"/>
      <x:c r="C39" s="234" t="s">
        <x:v>71</x:v>
      </x:c>
      <x:c r="D39" s="234" t="s">
        <x:v>72</x:v>
      </x:c>
      <x:c r="E39" s="233">
        <x:v>12</x:v>
      </x:c>
      <x:c r="F39" s="232" t="s">
        <x:v>73</x:v>
      </x:c>
      <x:c r="G39" s="217"/>
      <x:c r="H39" s="218"/>
      <x:c r="I39" s="223">
        <x:f t="shared" si="0"/>
        <x:v>-1.17</x:v>
      </x:c>
      <x:c r="J39" s="231" t="str" cm="1">
        <x:f t="array" ref="J39">IF(OR(TRIM($C39)="",$E39=""),"",IF($F39="Descriptif","Mesure descriptive",IF($F39="Percentile range",IFERROR(_xlfn.LET(_xlpm.rawTxt,SUBSTITUTE(SUBSTITUTE(SUBSTITUTE(SUBSTITUTE(SUBSTITUTE(TRIM($E39&amp;""),"%",""),"–","-"),"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"&amp;_xlpm.highCat)),""),IFERROR(_xlfn.LET(_xlpm.z,IF(ISNUMBER($I39),$I39,IFERROR(_xlfn.NUMBERVALUE($I39,","," "),IFERROR(_xlfn.NUMBERVALUE($I39,"."," "),""))),IF(_xlpm.z="","",_xlfn.IFS(_xlpm.z&gt;=2,"très supérieur",_xlpm.z&gt;=1.33,"supérieur",_xlpm.z&gt;=0.67,"moyenne élevée",_xlpm.z&gt;=-0.7,"moyenne",_xlpm.z&gt;-1.4,"moyenne faible",_xlpm.z&gt;-2.1,"limite",TRUE,"extrêmement faible"))),""))))</x:f>
        <x:v>moyenne faible</x:v>
      </x:c>
      <x:c r="K39" s="230" t="str">
        <x:f t="shared" si="1"/>
        <x:v>12,0e</x:v>
      </x:c>
      <x:c r="L39" s="229" t="s">
        <x:v>74</x:v>
      </x:c>
    </x:row>
    <x:row r="40" ht="16" customHeight="1">
      <x:c r="B40" s="235"/>
      <x:c r="C40" s="234" t="s">
        <x:v>75</x:v>
      </x:c>
      <x:c r="D40" s="234" t="s">
        <x:v>76</x:v>
      </x:c>
      <x:c r="E40" s="233">
        <x:v>10</x:v>
      </x:c>
      <x:c r="F40" s="232" t="s">
        <x:v>73</x:v>
      </x:c>
      <x:c r="G40" s="217"/>
      <x:c r="H40" s="218"/>
      <x:c r="I40" s="223">
        <x:f t="shared" si="0"/>
        <x:v>-1.28</x:v>
      </x:c>
      <x:c r="J40" s="231" t="str" cm="1">
        <x:f t="array" ref="J40">IF(OR(TRIM($C40)="",$E40=""),"",IF($F40="Descriptif","Mesure descriptive",IF($F40="Percentile range",IFERROR(_xlfn.LET(_xlpm.rawTxt,SUBSTITUTE(SUBSTITUTE(SUBSTITUTE(SUBSTITUTE(SUBSTITUTE(TRIM($E40&amp;""),"%",""),"–","-"),"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"&amp;_xlpm.highCat)),""),IFERROR(_xlfn.LET(_xlpm.z,IF(ISNUMBER($I40),$I40,IFERROR(_xlfn.NUMBERVALUE($I40,","," "),IFERROR(_xlfn.NUMBERVALUE($I40,"."," "),""))),IF(_xlpm.z="","",_xlfn.IFS(_xlpm.z&gt;=2,"très supérieur",_xlpm.z&gt;=1.33,"supérieur",_xlpm.z&gt;=0.67,"moyenne élevée",_xlpm.z&gt;=-0.7,"moyenne",_xlpm.z&gt;-1.4,"moyenne faible",_xlpm.z&gt;-2.1,"limite",TRUE,"extrêmement faible"))),""))))</x:f>
        <x:v>moyenne faible</x:v>
      </x:c>
      <x:c r="K40" s="230" t="str">
        <x:f t="shared" ref="K40:K71" si="2">IF(OR(TRIM($C40)="",$E40="",$F40="Descriptif"),"",IF($F40="Percentile range",IFERROR(_xlfn.LET(_xlpm.rawTxt,SUBSTITUTE(SUBSTITUTE(SUBSTITUTE(SUBSTITUTE(SUBSTITUTE(TRIM($E40&amp;""),"%",""),"–","-")," à ","-")," to ","-")," ",""),_xlpm.lowRaw,_xlfn.NUMBERVALUE(_xlfn.TEXTBEFORE(_xlpm.rawTxt,"-"),","," "),_xlpm.highRaw,_xlfn.NUMBERVALUE(_xlfn.TEXTAFTER(_xlpm.rawTxt,"-"),","," "),_xlpm.lowPct,MIN(_xlpm.lowRaw,_xlpm.highRaw),_xlpm.highPct,MAX(_xlpm.lowRaw,_xlpm.highRaw),_xlpm.lowTxt,IF(_xlpm.lowPct&lt;0.1,"&lt;0,1e",IF(_xlpm.lowPct=1,"1er",SUBSTITUTE(TEXT(_xlpm.lowPct,"0.0"),".",",")&amp;"e")),_xlpm.highTxt,IF(_xlpm.highPct&lt;0.1,"&lt;0,1e",IF(_xlpm.highPct=1,"1er",SUBSTITUTE(TEXT(_xlpm.highPct,"0.0"),".",",")&amp;"e")),_xlpm.lowTxt&amp;" à "&amp;_xlpm.highTxt),""),IFERROR(_xlfn.LET(_xlpm.m,$F40,_xlpm.mu,$G40,_xlpm.sd,$H40,_xlpm.x,IF(ISNUMBER($E40),$E40,IFERROR(_xlfn.NUMBERVALUE($E40,","," "),IFERROR(_xlfn.NUMBERVALUE($E40,".","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_xlfn.LET(_xlpm.rawP,_xlfn.NORM.S.DIST(_xlpm.z,TRUE)*100,_xlpm.p,MIN(99.9,ROUND(_xlpm.rawP,1)),IF(_xlpm.rawP&lt;0.1,"&lt;0,1e",IF(_xlpm.p=1,"1er",SUBSTITUTE(TEXT(_xlpm.p,"0.0"),".",",")&amp;"e"))))),"")))</x:f>
        <x:v>10,0e</x:v>
      </x:c>
      <x:c r="L40" s="229"/>
    </x:row>
    <x:row r="41" ht="16" customHeight="1">
      <x:c r="B41" s="235"/>
      <x:c r="C41" s="234" t="s">
        <x:v>77</x:v>
      </x:c>
      <x:c r="D41" s="234" t="s">
        <x:v>78</x:v>
      </x:c>
      <x:c r="E41" s="233">
        <x:v>5</x:v>
      </x:c>
      <x:c r="F41" s="232" t="s">
        <x:v>73</x:v>
      </x:c>
      <x:c r="G41" s="217"/>
      <x:c r="H41" s="218"/>
      <x:c r="I41" s="223">
        <x:f t="shared" si="0"/>
        <x:v>-1.64</x:v>
      </x:c>
      <x:c r="J41" s="231" t="str" cm="1">
        <x:f t="array" ref="J41">IF(OR(TRIM($C41)="",$E41=""),"",IF($F41="Descriptif","Mesure descriptive",IF($F41="Percentile range",IFERROR(_xlfn.LET(_xlpm.rawTxt,SUBSTITUTE(SUBSTITUTE(SUBSTITUTE(SUBSTITUTE(SUBSTITUTE(TRIM($E41&amp;""),"%",""),"–","-"),"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"&amp;_xlpm.highCat)),""),IFERROR(_xlfn.LET(_xlpm.z,IF(ISNUMBER($I41),$I41,IFERROR(_xlfn.NUMBERVALUE($I41,","," "),IFERROR(_xlfn.NUMBERVALUE($I41,"."," "),""))),IF(_xlpm.z="","",_xlfn.IFS(_xlpm.z&gt;=2,"très supérieur",_xlpm.z&gt;=1.33,"supérieur",_xlpm.z&gt;=0.67,"moyenne élevée",_xlpm.z&gt;=-0.7,"moyenne",_xlpm.z&gt;-1.4,"moyenne faible",_xlpm.z&gt;-2.1,"limite",TRUE,"extrêmement faible"))),""))))</x:f>
        <x:v>limite</x:v>
      </x:c>
      <x:c r="K41" s="230" t="str">
        <x:f t="shared" si="2"/>
        <x:v>5,0e</x:v>
      </x:c>
      <x:c r="L41" s="229"/>
    </x:row>
    <x:row r="42" ht="16" customHeight="1">
      <x:c r="B42" s="252"/>
      <x:c r="C42" s="251" t="s">
        <x:v>79</x:v>
      </x:c>
      <x:c r="D42" s="251" t="s">
        <x:v>80</x:v>
      </x:c>
      <x:c r="E42" s="250" t="s">
        <x:v>81</x:v>
      </x:c>
      <x:c r="F42" s="249" t="s">
        <x:v>22</x:v>
      </x:c>
      <x:c r="G42" s="224"/>
      <x:c r="H42" s="225"/>
      <x:c r="I42" s="223" t="str">
        <x:f t="shared" si="0"/>
      </x:c>
      <x:c r="J42" s="231" t="str" cm="1">
        <x:f t="array" ref="J42">IF(OR(TRIM($C42)="",$E42=""),"",IF($F42="Descriptif","Mesure descriptive",IF($F42="Percentile range",IFERROR(_xlfn.LET(_xlpm.rawTxt,SUBSTITUTE(SUBSTITUTE(SUBSTITUTE(SUBSTITUTE(SUBSTITUTE(TRIM($E42&amp;""),"%",""),"–","-"),"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"&amp;_xlpm.highCat)),""),IFERROR(_xlfn.LET(_xlpm.z,IF(ISNUMBER($I42),$I42,IFERROR(_xlfn.NUMBERVALUE($I42,","," "),IFERROR(_xlfn.NUMBERVALUE($I42,"."," "),""))),IF(_xlpm.z="","",_xlfn.IFS(_xlpm.z&gt;=2,"très supérieur",_xlpm.z&gt;=1.33,"supérieur",_xlpm.z&gt;=0.67,"moyenne élevée",_xlpm.z&gt;=-0.7,"moyenne",_xlpm.z&gt;-1.4,"moyenne faible",_xlpm.z&gt;-2.1,"limite",TRUE,"extrêmement faible"))),""))))</x:f>
        <x:v>Mesure descriptive</x:v>
      </x:c>
      <x:c r="K42" s="230" t="str">
        <x:f t="shared" si="2"/>
      </x:c>
      <x:c r="L42" s="248" t="s">
        <x:v>82</x:v>
      </x:c>
    </x:row>
    <x:row r="43" ht="16" customHeight="1">
      <x:c r="B43" s="252"/>
      <x:c r="C43" s="251" t="s">
        <x:v>83</x:v>
      </x:c>
      <x:c r="D43" s="251" t="s">
        <x:v>84</x:v>
      </x:c>
      <x:c r="E43" s="250">
        <x:v>10</x:v>
      </x:c>
      <x:c r="F43" s="249" t="s">
        <x:v>31</x:v>
      </x:c>
      <x:c r="G43" s="224"/>
      <x:c r="H43" s="225"/>
      <x:c r="I43" s="223">
        <x:f>IF(OR(TRIM(C43)="",E43=""),"",IFERROR(_xlfn.LET(_xlpm.x,IF(ISNUMBER(E43),E43,IFERROR(_xlfn.NUMBERVALUE(E43,","," "),IFERROR(_xlfn.NUMBERVALUE(E43,"."," "),""))),_xlpm.z,IF(OR(_xlpm.x="",_xlpm.x&lt;1,_xlpm.x&gt;19),"",MIN(0,(_xlpm.x-10)/3)),IF(_xlpm.z="","",ROUND(_xlpm.z,2))),""))</x:f>
        <x:v>0</x:v>
      </x:c>
      <x:c r="J43" s="231" t="str" cm="1">
        <x:f t="array" ref="J43">IF(OR(TRIM($C43)="",$E43=""),"",IF($F43="Descriptif","Mesure descriptive",IF($F43="Percentile range",IFERROR(_xlfn.LET(_xlpm.rawTxt,SUBSTITUTE(SUBSTITUTE(SUBSTITUTE(SUBSTITUTE(SUBSTITUTE(TRIM($E43&amp;""),"%",""),"–","-"),"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"&amp;_xlpm.highCat)),""),IFERROR(_xlfn.LET(_xlpm.z,IF(ISNUMBER($I43),$I43,IFERROR(_xlfn.NUMBERVALUE($I43,","," "),IFERROR(_xlfn.NUMBERVALUE($I43,"."," "),""))),IF(_xlpm.z="","",_xlfn.IFS(_xlpm.z&gt;=2,"très supérieur",_xlpm.z&gt;=1.33,"supérieur",_xlpm.z&gt;=0.67,"moyenne élevée",_xlpm.z&gt;=-0.7,"moyenne",_xlpm.z&gt;-1.4,"moyenne faible",_xlpm.z&gt;-2.1,"limite",TRUE,"extrêmement faible"))),""))))</x:f>
        <x:v>moyenne</x:v>
      </x:c>
      <x:c r="K43" s="230" t="str">
        <x:f t="shared" si="2"/>
        <x:v>50,0e</x:v>
      </x:c>
      <x:c r="L43" s="248"/>
    </x:row>
    <x:row r="44" ht="16" customHeight="1">
      <x:c r="B44" s="252"/>
      <x:c r="C44" s="251" t="s">
        <x:v>85</x:v>
      </x:c>
      <x:c r="D44" s="251" t="s">
        <x:v>86</x:v>
      </x:c>
      <x:c r="E44" s="250">
        <x:v>12</x:v>
      </x:c>
      <x:c r="F44" s="249" t="s">
        <x:v>31</x:v>
      </x:c>
      <x:c r="G44" s="224"/>
      <x:c r="H44" s="225"/>
      <x:c r="I44" s="223">
        <x:f>IF(OR(TRIM(C44)="",E44=""),"",IFERROR(_xlfn.LET(_xlpm.x,IF(ISNUMBER(E44),E44,IFERROR(_xlfn.NUMBERVALUE(E44,","," "),IFERROR(_xlfn.NUMBERVALUE(E44,"."," "),""))),_xlpm.z,IF(OR(_xlpm.x="",_xlpm.x&lt;1,_xlpm.x&gt;19),"",MIN(0,(_xlpm.x-10)/3)),IF(_xlpm.z="","",ROUND(_xlpm.z,2))),""))</x:f>
        <x:v>0</x:v>
      </x:c>
      <x:c r="J44" s="231" t="str" cm="1">
        <x:f t="array" ref="J44">IF(OR(TRIM($C44)="",$E44=""),"",IF($F44="Descriptif","Mesure descriptive",IF($F44="Percentile range",IFERROR(_xlfn.LET(_xlpm.rawTxt,SUBSTITUTE(SUBSTITUTE(SUBSTITUTE(SUBSTITUTE(SUBSTITUTE(TRIM($E44&amp;""),"%",""),"–","-"),"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"&amp;_xlpm.highCat)),""),IFERROR(_xlfn.LET(_xlpm.z,IF(ISNUMBER($I44),$I44,IFERROR(_xlfn.NUMBERVALUE($I44,","," "),IFERROR(_xlfn.NUMBERVALUE($I44,"."," "),""))),IF(_xlpm.z="","",_xlfn.IFS(_xlpm.z&gt;=2,"très supérieur",_xlpm.z&gt;=1.33,"supérieur",_xlpm.z&gt;=0.67,"moyenne élevée",_xlpm.z&gt;=-0.7,"moyenne",_xlpm.z&gt;-1.4,"moyenne faible",_xlpm.z&gt;-2.1,"limite",TRUE,"extrêmement faible"))),""))))</x:f>
        <x:v>moyenne</x:v>
      </x:c>
      <x:c r="K44" s="230" t="str">
        <x:f t="shared" si="2"/>
        <x:v>74,8e</x:v>
      </x:c>
      <x:c r="L44" s="248" t="s">
        <x:v>87</x:v>
      </x:c>
    </x:row>
    <x:row r="45" ht="16" customHeight="1">
      <x:c r="B45" s="252"/>
      <x:c r="C45" s="251" t="s">
        <x:v>88</x:v>
      </x:c>
      <x:c r="D45" s="251" t="s">
        <x:v>89</x:v>
      </x:c>
      <x:c r="E45" s="250">
        <x:v>13</x:v>
      </x:c>
      <x:c r="F45" s="249" t="s">
        <x:v>31</x:v>
      </x:c>
      <x:c r="G45" s="224"/>
      <x:c r="H45" s="225"/>
      <x:c r="I45" s="223">
        <x:f>IF(OR(TRIM(C45)="",E45=""),"",IFERROR(_xlfn.LET(_xlpm.x,IF(ISNUMBER(E45),E45,IFERROR(_xlfn.NUMBERVALUE(E45,","," "),IFERROR(_xlfn.NUMBERVALUE(E45,"."," "),""))),_xlpm.z,IF(OR(_xlpm.x="",_xlpm.x&lt;1,_xlpm.x&gt;19),"",MIN(0,(_xlpm.x-10)/3)),IF(_xlpm.z="","",ROUND(_xlpm.z,2))),""))</x:f>
        <x:v>0</x:v>
      </x:c>
      <x:c r="J45" s="231" t="str" cm="1">
        <x:f t="array" ref="J45">IF(OR(TRIM($C45)="",$E45=""),"",IF($F45="Descriptif","Mesure descriptive",IF($F45="Percentile range",IFERROR(_xlfn.LET(_xlpm.rawTxt,SUBSTITUTE(SUBSTITUTE(SUBSTITUTE(SUBSTITUTE(SUBSTITUTE(TRIM($E45&amp;""),"%",""),"–","-"),"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"&amp;_xlpm.highCat)),""),IFERROR(_xlfn.LET(_xlpm.z,IF(ISNUMBER($I45),$I45,IFERROR(_xlfn.NUMBERVALUE($I45,","," "),IFERROR(_xlfn.NUMBERVALUE($I45,"."," "),""))),IF(_xlpm.z="","",_xlfn.IFS(_xlpm.z&gt;=2,"très supérieur",_xlpm.z&gt;=1.33,"supérieur",_xlpm.z&gt;=0.67,"moyenne élevée",_xlpm.z&gt;=-0.7,"moyenne",_xlpm.z&gt;-1.4,"moyenne faible",_xlpm.z&gt;-2.1,"limite",TRUE,"extrêmement faible"))),""))))</x:f>
        <x:v>moyenne</x:v>
      </x:c>
      <x:c r="K45" s="230" t="str">
        <x:f t="shared" si="2"/>
        <x:v>84,1e</x:v>
      </x:c>
      <x:c r="L45" s="248" t="s">
        <x:v>90</x:v>
      </x:c>
    </x:row>
    <x:row r="46" ht="16" customHeight="1">
      <x:c r="B46" s="252"/>
      <x:c r="C46" s="251" t="s">
        <x:v>91</x:v>
      </x:c>
      <x:c r="D46" s="251" t="s">
        <x:v>92</x:v>
      </x:c>
      <x:c r="E46" s="250">
        <x:v>11</x:v>
      </x:c>
      <x:c r="F46" s="249" t="s">
        <x:v>31</x:v>
      </x:c>
      <x:c r="G46" s="224"/>
      <x:c r="H46" s="225"/>
      <x:c r="I46" s="223">
        <x:f>IF(OR(TRIM(C46)="",E46=""),"",IFERROR(_xlfn.LET(_xlpm.x,IF(ISNUMBER(E46),E46,IFERROR(_xlfn.NUMBERVALUE(E46,","," "),IFERROR(_xlfn.NUMBERVALUE(E46,"."," "),""))),_xlpm.z,IF(OR(_xlpm.x="",_xlpm.x&lt;1,_xlpm.x&gt;19),"",MIN(0,(_xlpm.x-10)/3)),IF(_xlpm.z="","",ROUND(_xlpm.z,2))),""))</x:f>
        <x:v>0</x:v>
      </x:c>
      <x:c r="J46" s="231" t="str" cm="1">
        <x:f t="array" ref="J46">IF(OR(TRIM($C46)="",$E46=""),"",IF($F46="Descriptif","Mesure descriptive",IF($F46="Percentile range",IFERROR(_xlfn.LET(_xlpm.rawTxt,SUBSTITUTE(SUBSTITUTE(SUBSTITUTE(SUBSTITUTE(SUBSTITUTE(TRIM($E46&amp;""),"%",""),"–","-"),"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"&amp;_xlpm.highCat)),""),IFERROR(_xlfn.LET(_xlpm.z,IF(ISNUMBER($I46),$I46,IFERROR(_xlfn.NUMBERVALUE($I46,","," "),IFERROR(_xlfn.NUMBERVALUE($I46,"."," "),""))),IF(_xlpm.z="","",_xlfn.IFS(_xlpm.z&gt;=2,"très supérieur",_xlpm.z&gt;=1.33,"supérieur",_xlpm.z&gt;=0.67,"moyenne élevée",_xlpm.z&gt;=-0.7,"moyenne",_xlpm.z&gt;-1.4,"moyenne faible",_xlpm.z&gt;-2.1,"limite",TRUE,"extrêmement faible"))),""))))</x:f>
        <x:v>moyenne</x:v>
      </x:c>
      <x:c r="K46" s="230" t="str">
        <x:f t="shared" si="2"/>
        <x:v>63,1e</x:v>
      </x:c>
      <x:c r="L46" s="248"/>
    </x:row>
    <x:row r="47" ht="16" customHeight="1">
      <x:c r="B47" s="252"/>
      <x:c r="C47" s="251" t="s">
        <x:v>93</x:v>
      </x:c>
      <x:c r="D47" s="251" t="s">
        <x:v>94</x:v>
      </x:c>
      <x:c r="E47" s="250">
        <x:v>14</x:v>
      </x:c>
      <x:c r="F47" s="249" t="s">
        <x:v>31</x:v>
      </x:c>
      <x:c r="G47" s="224"/>
      <x:c r="H47" s="225"/>
      <x:c r="I47" s="223">
        <x:f>IF(OR(TRIM(C47)="",E47=""),"",IFERROR(_xlfn.LET(_xlpm.x,IF(ISNUMBER(E47),E47,IFERROR(_xlfn.NUMBERVALUE(E47,","," "),IFERROR(_xlfn.NUMBERVALUE(E47,"."," "),""))),_xlpm.z,IF(OR(_xlpm.x="",_xlpm.x&lt;1,_xlpm.x&gt;19),"",MIN(0,(_xlpm.x-10)/3)),IF(_xlpm.z="","",ROUND(_xlpm.z,2))),""))</x:f>
        <x:v>0</x:v>
      </x:c>
      <x:c r="J47" s="231" t="str" cm="1">
        <x:f t="array" ref="J47">IF(OR(TRIM($C47)="",$E47=""),"",IF($F47="Descriptif","Mesure descriptive",IF($F47="Percentile range",IFERROR(_xlfn.LET(_xlpm.rawTxt,SUBSTITUTE(SUBSTITUTE(SUBSTITUTE(SUBSTITUTE(SUBSTITUTE(TRIM($E47&amp;""),"%",""),"–","-"),"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"&amp;_xlpm.highCat)),""),IFERROR(_xlfn.LET(_xlpm.z,IF(ISNUMBER($I47),$I47,IFERROR(_xlfn.NUMBERVALUE($I47,","," "),IFERROR(_xlfn.NUMBERVALUE($I47,"."," "),""))),IF(_xlpm.z="","",_xlfn.IFS(_xlpm.z&gt;=2,"très supérieur",_xlpm.z&gt;=1.33,"supérieur",_xlpm.z&gt;=0.67,"moyenne élevée",_xlpm.z&gt;=-0.7,"moyenne",_xlpm.z&gt;-1.4,"moyenne faible",_xlpm.z&gt;-2.1,"limite",TRUE,"extrêmement faible"))),""))))</x:f>
        <x:v>moyenne</x:v>
      </x:c>
      <x:c r="K47" s="230" t="str">
        <x:f t="shared" si="2"/>
        <x:v>90,9e</x:v>
      </x:c>
      <x:c r="L47" s="248" t="s">
        <x:v>95</x:v>
      </x:c>
    </x:row>
    <x:row r="48" ht="16" customHeight="1">
      <x:c r="B48" s="252"/>
      <x:c r="C48" s="251" t="s">
        <x:v>96</x:v>
      </x:c>
      <x:c r="D48" s="251" t="s">
        <x:v>97</x:v>
      </x:c>
      <x:c r="E48" s="250">
        <x:v>4</x:v>
      </x:c>
      <x:c r="F48" s="249" t="s">
        <x:v>31</x:v>
      </x:c>
      <x:c r="G48" s="224"/>
      <x:c r="H48" s="225"/>
      <x:c r="I48" s="223">
        <x:f>IF(OR(TRIM($C48)="",$E48=""),"",IF($F48="Percentile range",IFERROR(_xlfn.LET(_xlpm.rawTxt,SUBSTITUTE(SUBSTITUTE(SUBSTITUTE(SUBSTITUTE(SUBSTITUTE(TRIM($E48&amp;""),"%",""),"–","-"),"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48,_xlpm.mu,$G48,_xlpm.sd,$H48,_xlpm.x,IF(ISNUMBER($E48),$E48,IFERROR(_xlfn.NUMBERVALUE($E48,","," "),IFERROR(_xlfn.NUMBERVALUE($E48,".","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-2</x:v>
      </x:c>
      <x:c r="J48" s="231" t="str" cm="1">
        <x:f t="array" ref="J48">IF(OR(TRIM($C48)="",$E48=""),"",IF($F48="Descriptif","Mesure descriptive",IF($F48="Percentile range",IFERROR(_xlfn.LET(_xlpm.rawTxt,SUBSTITUTE(SUBSTITUTE(SUBSTITUTE(SUBSTITUTE(SUBSTITUTE(TRIM($E48&amp;""),"%",""),"–","-"),"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"&amp;_xlpm.highCat)),""),IFERROR(_xlfn.LET(_xlpm.z,IF(ISNUMBER($I48),$I48,IFERROR(_xlfn.NUMBERVALUE($I48,","," "),IFERROR(_xlfn.NUMBERVALUE($I48,"."," "),""))),IF(_xlpm.z="","",_xlfn.IFS(_xlpm.z&gt;=2,"très supérieur",_xlpm.z&gt;=1.33,"supérieur",_xlpm.z&gt;=0.67,"moyenne élevée",_xlpm.z&gt;=-0.7,"moyenne",_xlpm.z&gt;-1.4,"moyenne faible",_xlpm.z&gt;-2.1,"limite",TRUE,"extrêmement faible"))),""))))</x:f>
        <x:v>limite</x:v>
      </x:c>
      <x:c r="K48" s="230" t="str">
        <x:f t="shared" si="2"/>
        <x:v>2,3e</x:v>
      </x:c>
      <x:c r="L48" s="248" t="s">
        <x:v>98</x:v>
      </x:c>
    </x:row>
    <x:row r="49" ht="16" customHeight="1">
      <x:c r="B49" s="252"/>
      <x:c r="C49" s="251" t="s">
        <x:v>99</x:v>
      </x:c>
      <x:c r="D49" s="251" t="s">
        <x:v>100</x:v>
      </x:c>
      <x:c r="E49" s="250">
        <x:v>13</x:v>
      </x:c>
      <x:c r="F49" s="249" t="s">
        <x:v>31</x:v>
      </x:c>
      <x:c r="G49" s="224"/>
      <x:c r="H49" s="225"/>
      <x:c r="I49" s="223">
        <x:f>IF(OR(TRIM(C49)="",E49=""),"",IFERROR(_xlfn.LET(_xlpm.x,IF(ISNUMBER(E49),E49,IFERROR(_xlfn.NUMBERVALUE(E49,","," "),IFERROR(_xlfn.NUMBERVALUE(E49,"."," "),""))),_xlpm.z,IF(OR(_xlpm.x="",_xlpm.x&lt;1,_xlpm.x&gt;19),"",MIN(0,(_xlpm.x-10)/3)),IF(_xlpm.z="","",ROUND(_xlpm.z,2))),""))</x:f>
        <x:v>0</x:v>
      </x:c>
      <x:c r="J49" s="231" t="str" cm="1">
        <x:f t="array" ref="J49">IF(OR(TRIM($C49)="",$E49=""),"",IF($F49="Descriptif","Mesure descriptive",IF($F49="Percentile range",IFERROR(_xlfn.LET(_xlpm.rawTxt,SUBSTITUTE(SUBSTITUTE(SUBSTITUTE(SUBSTITUTE(SUBSTITUTE(TRIM($E49&amp;""),"%",""),"–","-"),"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"&amp;_xlpm.highCat)),""),IFERROR(_xlfn.LET(_xlpm.z,IF(ISNUMBER($I49),$I49,IFERROR(_xlfn.NUMBERVALUE($I49,","," "),IFERROR(_xlfn.NUMBERVALUE($I49,"."," "),""))),IF(_xlpm.z="","",_xlfn.IFS(_xlpm.z&gt;=2,"très supérieur",_xlpm.z&gt;=1.33,"supérieur",_xlpm.z&gt;=0.67,"moyenne élevée",_xlpm.z&gt;=-0.7,"moyenne",_xlpm.z&gt;-1.4,"moyenne faible",_xlpm.z&gt;-2.1,"limite",TRUE,"extrêmement faible"))),""))))</x:f>
        <x:v>moyenne</x:v>
      </x:c>
      <x:c r="K49" s="230" t="str">
        <x:f t="shared" si="2"/>
        <x:v>84,1e</x:v>
      </x:c>
      <x:c r="L49" s="248" t="s">
        <x:v>101</x:v>
      </x:c>
    </x:row>
    <x:row r="50" ht="16" customHeight="1">
      <x:c r="B50" s="252"/>
      <x:c r="C50" s="251" t="s">
        <x:v>102</x:v>
      </x:c>
      <x:c r="D50" s="251" t="s">
        <x:v>103</x:v>
      </x:c>
      <x:c r="E50" s="250">
        <x:v>8</x:v>
      </x:c>
      <x:c r="F50" s="249" t="s">
        <x:v>31</x:v>
      </x:c>
      <x:c r="G50" s="224"/>
      <x:c r="H50" s="225"/>
      <x:c r="I50" s="223">
        <x:f t="shared" ref="I50:I60" si="3">IF(OR(TRIM($C50)="",$E50=""),"",IF($F50="Percentile range",IFERROR(_xlfn.LET(_xlpm.rawTxt,SUBSTITUTE(SUBSTITUTE(SUBSTITUTE(SUBSTITUTE(SUBSTITUTE(TRIM($E50&amp;""),"%",""),"–","-"),"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50,_xlpm.mu,$G50,_xlpm.sd,$H50,_xlpm.x,IF(ISNUMBER($E50),$E50,IFERROR(_xlfn.NUMBERVALUE($E50,","," "),IFERROR(_xlfn.NUMBERVALUE($E50,".","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-0.67</x:v>
      </x:c>
      <x:c r="J50" s="231" t="str" cm="1">
        <x:f t="array" ref="J50">IF(OR(TRIM($C50)="",$E50=""),"",IF($F50="Descriptif","Mesure descriptive",IF($F50="Percentile range",IFERROR(_xlfn.LET(_xlpm.rawTxt,SUBSTITUTE(SUBSTITUTE(SUBSTITUTE(SUBSTITUTE(SUBSTITUTE(TRIM($E50&amp;""),"%",""),"–","-"),"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"&amp;_xlpm.highCat)),""),IFERROR(_xlfn.LET(_xlpm.z,IF(ISNUMBER($I50),$I50,IFERROR(_xlfn.NUMBERVALUE($I50,","," "),IFERROR(_xlfn.NUMBERVALUE($I50,"."," "),""))),IF(_xlpm.z="","",_xlfn.IFS(_xlpm.z&gt;=2,"très supérieur",_xlpm.z&gt;=1.33,"supérieur",_xlpm.z&gt;=0.67,"moyenne élevée",_xlpm.z&gt;=-0.7,"moyenne",_xlpm.z&gt;-1.4,"moyenne faible",_xlpm.z&gt;-2.1,"limite",TRUE,"extrêmement faible"))),""))))</x:f>
        <x:v>moyenne</x:v>
      </x:c>
      <x:c r="K50" s="230" t="str">
        <x:f t="shared" si="2"/>
        <x:v>25,2e</x:v>
      </x:c>
      <x:c r="L50" s="248"/>
    </x:row>
    <x:row r="51" ht="33" customHeight="1">
      <x:c r="B51" s="247" t="s">
        <x:v>104</x:v>
      </x:c>
      <x:c r="C51" s="246"/>
      <x:c r="D51" s="246"/>
      <x:c r="E51" s="245"/>
      <x:c r="F51" s="244"/>
      <x:c r="G51" s="243"/>
      <x:c r="H51" s="242"/>
      <x:c r="I51" s="223" t="str">
        <x:f t="shared" si="3"/>
      </x:c>
      <x:c r="J51" s="231" t="str" cm="1">
        <x:f t="array" ref="J51">IF(OR(TRIM($C51)="",$E51=""),"",IF($F51="Descriptif","Mesure descriptive",IF($F51="Percentile range",IFERROR(_xlfn.LET(_xlpm.rawTxt,SUBSTITUTE(SUBSTITUTE(SUBSTITUTE(SUBSTITUTE(SUBSTITUTE(TRIM($E51&amp;""),"%",""),"–","-"),"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"&amp;_xlpm.highCat)),""),IFERROR(_xlfn.LET(_xlpm.z,IF(ISNUMBER($I51),$I51,IFERROR(_xlfn.NUMBERVALUE($I51,","," "),IFERROR(_xlfn.NUMBERVALUE($I51,"."," "),""))),IF(_xlpm.z="","",_xlfn.IFS(_xlpm.z&gt;=2,"très supérieur",_xlpm.z&gt;=1.33,"supérieur",_xlpm.z&gt;=0.67,"moyenne élevée",_xlpm.z&gt;=-0.7,"moyenne",_xlpm.z&gt;-1.4,"moyenne faible",_xlpm.z&gt;-2.1,"limite",TRUE,"extrêmement faible"))),""))))</x:f>
      </x:c>
      <x:c r="K51" s="230" t="str">
        <x:f t="shared" si="2"/>
      </x:c>
      <x:c r="L51" s="241"/>
    </x:row>
    <x:row r="52" ht="16" customHeight="1">
      <x:c r="B52" s="240"/>
      <x:c r="C52" s="239" t="s">
        <x:v>105</x:v>
      </x:c>
      <x:c r="D52" s="239" t="s">
        <x:v>106</x:v>
      </x:c>
      <x:c r="E52" s="238"/>
      <x:c r="F52" s="237"/>
      <x:c r="G52" s="221"/>
      <x:c r="H52" s="222"/>
      <x:c r="I52" s="223" t="str">
        <x:f t="shared" si="3"/>
      </x:c>
      <x:c r="J52" s="231" t="str" cm="1">
        <x:f t="array" ref="J52">IF(OR(TRIM($C52)="",$E52=""),"",IF($F52="Descriptif","Mesure descriptive",IF($F52="Percentile range",IFERROR(_xlfn.LET(_xlpm.rawTxt,SUBSTITUTE(SUBSTITUTE(SUBSTITUTE(SUBSTITUTE(SUBSTITUTE(TRIM($E52&amp;""),"%",""),"–","-"),"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"&amp;_xlpm.highCat)),""),IFERROR(_xlfn.LET(_xlpm.z,IF(ISNUMBER($I52),$I52,IFERROR(_xlfn.NUMBERVALUE($I52,","," "),IFERROR(_xlfn.NUMBERVALUE($I52,"."," "),""))),IF(_xlpm.z="","",_xlfn.IFS(_xlpm.z&gt;=2,"très supérieur",_xlpm.z&gt;=1.33,"supérieur",_xlpm.z&gt;=0.67,"moyenne élevée",_xlpm.z&gt;=-0.7,"moyenne",_xlpm.z&gt;-1.4,"moyenne faible",_xlpm.z&gt;-2.1,"limite",TRUE,"extrêmement faible"))),""))))</x:f>
      </x:c>
      <x:c r="K52" s="230" t="str">
        <x:f t="shared" si="2"/>
      </x:c>
      <x:c r="L52" s="236"/>
    </x:row>
    <x:row r="53" ht="16" customHeight="1">
      <x:c r="B53" s="235"/>
      <x:c r="C53" s="234" t="s">
        <x:v>107</x:v>
      </x:c>
      <x:c r="D53" s="234" t="s">
        <x:v>108</x:v>
      </x:c>
      <x:c r="E53" s="303" t="s">
        <x:v>109</x:v>
      </x:c>
      <x:c r="F53" s="232" t="s">
        <x:v>110</x:v>
      </x:c>
      <x:c r="G53" s="217"/>
      <x:c r="H53" s="218"/>
      <x:c r="I53" s="223">
        <x:f t="shared" si="3"/>
        <x:v>-1.85</x:v>
      </x:c>
      <x:c r="J53" s="231" t="str" cm="1">
        <x:f t="array" ref="J53">IF(OR(TRIM($C53)="",$E53=""),"",IF($F53="Descriptif","Mesure descriptive",IF($F53="Percentile range",IFERROR(_xlfn.LET(_xlpm.rawTxt,SUBSTITUTE(SUBSTITUTE(SUBSTITUTE(SUBSTITUTE(SUBSTITUTE(TRIM($E53&amp;""),"%",""),"–","-"),"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"&amp;_xlpm.highCat)),""),IFERROR(_xlfn.LET(_xlpm.z,IF(ISNUMBER($I53),$I53,IFERROR(_xlfn.NUMBERVALUE($I53,","," "),IFERROR(_xlfn.NUMBERVALUE($I53,"."," "),""))),IF(_xlpm.z="","",_xlfn.IFS(_xlpm.z&gt;=2,"très supérieur",_xlpm.z&gt;=1.33,"supérieur",_xlpm.z&gt;=0.67,"moyenne élevée",_xlpm.z&gt;=-0.7,"moyenne",_xlpm.z&gt;-1.4,"moyenne faible",_xlpm.z&gt;-2.1,"limite",TRUE,"extrêmement faible"))),""))))</x:f>
        <x:v>limite</x:v>
      </x:c>
      <x:c r="K53" s="230" t="str">
        <x:f t="shared" si="2"/>
        <x:v>2,0e à 5,0e</x:v>
      </x:c>
      <x:c r="L53" s="229"/>
    </x:row>
    <x:row r="54" ht="16" customHeight="1">
      <x:c r="B54" s="235"/>
      <x:c r="C54" s="234" t="s">
        <x:v>111</x:v>
      </x:c>
      <x:c r="D54" s="234" t="s">
        <x:v>112</x:v>
      </x:c>
      <x:c r="E54" s="233">
        <x:v>31</x:v>
      </x:c>
      <x:c r="F54" s="232" t="s">
        <x:v>113</x:v>
      </x:c>
      <x:c r="G54" s="217"/>
      <x:c r="H54" s="218"/>
      <x:c r="I54" s="223">
        <x:f t="shared" si="3"/>
        <x:v>-1.9</x:v>
      </x:c>
      <x:c r="J54" s="231" t="str" cm="1">
        <x:f t="array" ref="J54">IF(OR(TRIM($C54)="",$E54=""),"",IF($F54="Descriptif","Mesure descriptive",IF($F54="Percentile range",IFERROR(_xlfn.LET(_xlpm.rawTxt,SUBSTITUTE(SUBSTITUTE(SUBSTITUTE(SUBSTITUTE(SUBSTITUTE(TRIM($E54&amp;""),"%",""),"–","-"),"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"&amp;_xlpm.highCat)),""),IFERROR(_xlfn.LET(_xlpm.z,IF(ISNUMBER($I54),$I54,IFERROR(_xlfn.NUMBERVALUE($I54,","," "),IFERROR(_xlfn.NUMBERVALUE($I54,"."," "),""))),IF(_xlpm.z="","",_xlfn.IFS(_xlpm.z&gt;=2,"très supérieur",_xlpm.z&gt;=1.33,"supérieur",_xlpm.z&gt;=0.67,"moyenne élevée",_xlpm.z&gt;=-0.7,"moyenne",_xlpm.z&gt;-1.4,"moyenne faible",_xlpm.z&gt;-2.1,"limite",TRUE,"extrêmement faible"))),""))))</x:f>
        <x:v>limite</x:v>
      </x:c>
      <x:c r="K54" s="230" t="str">
        <x:f t="shared" si="2"/>
        <x:v>2,9e</x:v>
      </x:c>
      <x:c r="L54" s="229" t="s">
        <x:v>114</x:v>
      </x:c>
    </x:row>
    <x:row r="55" ht="16" customHeight="1">
      <x:c r="B55" s="235"/>
      <x:c r="C55" s="234" t="s">
        <x:v>115</x:v>
      </x:c>
      <x:c r="D55" s="234" t="s">
        <x:v>116</x:v>
      </x:c>
      <x:c r="E55" s="233">
        <x:v>29</x:v>
      </x:c>
      <x:c r="F55" s="232" t="s">
        <x:v>113</x:v>
      </x:c>
      <x:c r="G55" s="217"/>
      <x:c r="H55" s="218"/>
      <x:c r="I55" s="223">
        <x:f t="shared" si="3"/>
        <x:v>-2.1</x:v>
      </x:c>
      <x:c r="J55" s="231" t="str" cm="1">
        <x:f t="array" ref="J55">IF(OR(TRIM($C55)="",$E55=""),"",IF($F55="Descriptif","Mesure descriptive",IF($F55="Percentile range",IFERROR(_xlfn.LET(_xlpm.rawTxt,SUBSTITUTE(SUBSTITUTE(SUBSTITUTE(SUBSTITUTE(SUBSTITUTE(TRIM($E55&amp;""),"%",""),"–","-"),"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"&amp;_xlpm.highCat)),""),IFERROR(_xlfn.LET(_xlpm.z,IF(ISNUMBER($I55),$I55,IFERROR(_xlfn.NUMBERVALUE($I55,","," "),IFERROR(_xlfn.NUMBERVALUE($I55,"."," "),""))),IF(_xlpm.z="","",_xlfn.IFS(_xlpm.z&gt;=2,"très supérieur",_xlpm.z&gt;=1.33,"supérieur",_xlpm.z&gt;=0.67,"moyenne élevée",_xlpm.z&gt;=-0.7,"moyenne",_xlpm.z&gt;-1.4,"moyenne faible",_xlpm.z&gt;-2.1,"limite",TRUE,"extrêmement faible"))),""))))</x:f>
        <x:v>extrêmement faible</x:v>
      </x:c>
      <x:c r="K55" s="230" t="str">
        <x:f t="shared" si="2"/>
        <x:v>1,8e</x:v>
      </x:c>
      <x:c r="L55" s="229" t="s">
        <x:v>117</x:v>
      </x:c>
    </x:row>
    <x:row r="56" ht="16" customHeight="1">
      <x:c r="B56" s="235"/>
      <x:c r="C56" s="234" t="s">
        <x:v>118</x:v>
      </x:c>
      <x:c r="D56" s="234" t="s">
        <x:v>119</x:v>
      </x:c>
      <x:c r="E56" s="233">
        <x:v>39</x:v>
      </x:c>
      <x:c r="F56" s="232" t="s">
        <x:v>113</x:v>
      </x:c>
      <x:c r="G56" s="217"/>
      <x:c r="H56" s="218"/>
      <x:c r="I56" s="223">
        <x:f t="shared" si="3"/>
        <x:v>-1.1000000000000001</x:v>
      </x:c>
      <x:c r="J56" s="231" t="str" cm="1">
        <x:f t="array" ref="J56">IF(OR(TRIM($C56)="",$E56=""),"",IF($F56="Descriptif","Mesure descriptive",IF($F56="Percentile range",IFERROR(_xlfn.LET(_xlpm.rawTxt,SUBSTITUTE(SUBSTITUTE(SUBSTITUTE(SUBSTITUTE(SUBSTITUTE(TRIM($E56&amp;""),"%",""),"–","-"),"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"&amp;_xlpm.highCat)),""),IFERROR(_xlfn.LET(_xlpm.z,IF(ISNUMBER($I56),$I56,IFERROR(_xlfn.NUMBERVALUE($I56,","," "),IFERROR(_xlfn.NUMBERVALUE($I56,"."," "),""))),IF(_xlpm.z="","",_xlfn.IFS(_xlpm.z&gt;=2,"très supérieur",_xlpm.z&gt;=1.33,"supérieur",_xlpm.z&gt;=0.67,"moyenne élevée",_xlpm.z&gt;=-0.7,"moyenne",_xlpm.z&gt;-1.4,"moyenne faible",_xlpm.z&gt;-2.1,"limite",TRUE,"extrêmement faible"))),""))))</x:f>
        <x:v>moyenne faible</x:v>
      </x:c>
      <x:c r="K56" s="230" t="str">
        <x:f t="shared" si="2"/>
        <x:v>13,6e</x:v>
      </x:c>
      <x:c r="L56" s="229" t="s">
        <x:v>120</x:v>
      </x:c>
    </x:row>
    <x:row r="57" ht="16" customHeight="1">
      <x:c r="B57" s="252"/>
      <x:c r="C57" s="251" t="s">
        <x:v>121</x:v>
      </x:c>
      <x:c r="D57" s="251" t="s">
        <x:v>122</x:v>
      </x:c>
      <x:c r="E57" s="304" t="s">
        <x:v>109</x:v>
      </x:c>
      <x:c r="F57" s="249" t="s">
        <x:v>110</x:v>
      </x:c>
      <x:c r="G57" s="224"/>
      <x:c r="H57" s="225"/>
      <x:c r="I57" s="223">
        <x:f t="shared" si="3"/>
        <x:v>-1.85</x:v>
      </x:c>
      <x:c r="J57" s="231" t="str" cm="1">
        <x:f t="array" ref="J57">IF(OR(TRIM($C57)="",$E57=""),"",IF($F57="Descriptif","Mesure descriptive",IF($F57="Percentile range",IFERROR(_xlfn.LET(_xlpm.rawTxt,SUBSTITUTE(SUBSTITUTE(SUBSTITUTE(SUBSTITUTE(SUBSTITUTE(TRIM($E57&amp;""),"%",""),"–","-"),"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"&amp;_xlpm.highCat)),""),IFERROR(_xlfn.LET(_xlpm.z,IF(ISNUMBER($I57),$I57,IFERROR(_xlfn.NUMBERVALUE($I57,","," "),IFERROR(_xlfn.NUMBERVALUE($I57,"."," "),""))),IF(_xlpm.z="","",_xlfn.IFS(_xlpm.z&gt;=2,"très supérieur",_xlpm.z&gt;=1.33,"supérieur",_xlpm.z&gt;=0.67,"moyenne élevée",_xlpm.z&gt;=-0.7,"moyenne",_xlpm.z&gt;-1.4,"moyenne faible",_xlpm.z&gt;-2.1,"limite",TRUE,"extrêmement faible"))),""))))</x:f>
        <x:v>limite</x:v>
      </x:c>
      <x:c r="K57" s="230" t="str">
        <x:f t="shared" si="2"/>
        <x:v>2,0e à 5,0e</x:v>
      </x:c>
      <x:c r="L57" s="248"/>
    </x:row>
    <x:row r="58" ht="16" customHeight="1">
      <x:c r="B58" s="247" t="s">
        <x:v>123</x:v>
      </x:c>
      <x:c r="C58" s="246"/>
      <x:c r="D58" s="246"/>
      <x:c r="E58" s="245"/>
      <x:c r="F58" s="244"/>
      <x:c r="G58" s="243"/>
      <x:c r="H58" s="242"/>
      <x:c r="I58" s="223" t="str">
        <x:f t="shared" si="3"/>
      </x:c>
      <x:c r="J58" s="231" t="str" cm="1">
        <x:f t="array" ref="J58">IF(OR(TRIM($C58)="",$E58=""),"",IF($F58="Descriptif","Mesure descriptive",IF($F58="Percentile range",IFERROR(_xlfn.LET(_xlpm.rawTxt,SUBSTITUTE(SUBSTITUTE(SUBSTITUTE(SUBSTITUTE(SUBSTITUTE(TRIM($E58&amp;""),"%",""),"–","-"),"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"&amp;_xlpm.highCat)),""),IFERROR(_xlfn.LET(_xlpm.z,IF(ISNUMBER($I58),$I58,IFERROR(_xlfn.NUMBERVALUE($I58,","," "),IFERROR(_xlfn.NUMBERVALUE($I58,"."," "),""))),IF(_xlpm.z="","",_xlfn.IFS(_xlpm.z&gt;=2,"très supérieur",_xlpm.z&gt;=1.33,"supérieur",_xlpm.z&gt;=0.67,"moyenne élevée",_xlpm.z&gt;=-0.7,"moyenne",_xlpm.z&gt;-1.4,"moyenne faible",_xlpm.z&gt;-2.1,"limite",TRUE,"extrêmement faible"))),""))))</x:f>
      </x:c>
      <x:c r="K58" s="230" t="str">
        <x:f t="shared" si="2"/>
      </x:c>
      <x:c r="L58" s="241"/>
    </x:row>
    <x:row r="59" ht="16" customHeight="1">
      <x:c r="B59" s="240"/>
      <x:c r="C59" s="239" t="s">
        <x:v>124</x:v>
      </x:c>
      <x:c r="D59" s="239" t="s">
        <x:v>125</x:v>
      </x:c>
      <x:c r="E59" s="238"/>
      <x:c r="F59" s="237"/>
      <x:c r="G59" s="221"/>
      <x:c r="H59" s="222"/>
      <x:c r="I59" s="223" t="str">
        <x:f t="shared" si="3"/>
      </x:c>
      <x:c r="J59" s="231" t="str" cm="1">
        <x:f t="array" ref="J59">IF(OR(TRIM($C59)="",$E59=""),"",IF($F59="Descriptif","Mesure descriptive",IF($F59="Percentile range",IFERROR(_xlfn.LET(_xlpm.rawTxt,SUBSTITUTE(SUBSTITUTE(SUBSTITUTE(SUBSTITUTE(SUBSTITUTE(TRIM($E59&amp;""),"%",""),"–","-"),"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"&amp;_xlpm.highCat)),""),IFERROR(_xlfn.LET(_xlpm.z,IF(ISNUMBER($I59),$I59,IFERROR(_xlfn.NUMBERVALUE($I59,","," "),IFERROR(_xlfn.NUMBERVALUE($I59,"."," "),""))),IF(_xlpm.z="","",_xlfn.IFS(_xlpm.z&gt;=2,"très supérieur",_xlpm.z&gt;=1.33,"supérieur",_xlpm.z&gt;=0.67,"moyenne élevée",_xlpm.z&gt;=-0.7,"moyenne",_xlpm.z&gt;-1.4,"moyenne faible",_xlpm.z&gt;-2.1,"limite",TRUE,"extrêmement faible"))),""))))</x:f>
      </x:c>
      <x:c r="K59" s="230" t="str">
        <x:f t="shared" si="2"/>
      </x:c>
      <x:c r="L59" s="236" t="s">
        <x:v>126</x:v>
      </x:c>
    </x:row>
    <x:row r="60" ht="16" customHeight="1">
      <x:c r="B60" s="235"/>
      <x:c r="C60" s="234" t="s">
        <x:v>127</x:v>
      </x:c>
      <x:c r="D60" s="234" t="s">
        <x:v>128</x:v>
      </x:c>
      <x:c r="E60" s="233">
        <x:v>38</x:v>
      </x:c>
      <x:c r="F60" s="232" t="s">
        <x:v>22</x:v>
      </x:c>
      <x:c r="G60" s="217"/>
      <x:c r="H60" s="218"/>
      <x:c r="I60" s="223" t="str">
        <x:f t="shared" si="3"/>
      </x:c>
      <x:c r="J60" s="231" t="str" cm="1">
        <x:f t="array" ref="J60">IF(OR(TRIM($C60)="",$E60=""),"",IF($F60="Descriptif","Mesure descriptive",IF($F60="Percentile range",IFERROR(_xlfn.LET(_xlpm.rawTxt,SUBSTITUTE(SUBSTITUTE(SUBSTITUTE(SUBSTITUTE(SUBSTITUTE(TRIM($E60&amp;""),"%",""),"–","-"),"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"&amp;_xlpm.highCat)),""),IFERROR(_xlfn.LET(_xlpm.z,IF(ISNUMBER($I60),$I60,IFERROR(_xlfn.NUMBERVALUE($I60,","," "),IFERROR(_xlfn.NUMBERVALUE($I60,"."," "),""))),IF(_xlpm.z="","",_xlfn.IFS(_xlpm.z&gt;=2,"très supérieur",_xlpm.z&gt;=1.33,"supérieur",_xlpm.z&gt;=0.67,"moyenne élevée",_xlpm.z&gt;=-0.7,"moyenne",_xlpm.z&gt;-1.4,"moyenne faible",_xlpm.z&gt;-2.1,"limite",TRUE,"extrêmement faible"))),""))))</x:f>
        <x:v>Mesure descriptive</x:v>
      </x:c>
      <x:c r="K60" s="230" t="str">
        <x:f t="shared" si="2"/>
      </x:c>
      <x:c r="L60" s="229" t="s">
        <x:v>129</x:v>
      </x:c>
    </x:row>
    <x:row r="61" ht="16" customHeight="1">
      <x:c r="B61" s="235"/>
      <x:c r="C61" s="234" t="s">
        <x:v>130</x:v>
      </x:c>
      <x:c r="D61" s="234" t="s">
        <x:v>131</x:v>
      </x:c>
      <x:c r="E61" s="233">
        <x:v>46</x:v>
      </x:c>
      <x:c r="F61" s="232" t="s">
        <x:v>113</x:v>
      </x:c>
      <x:c r="G61" s="217"/>
      <x:c r="H61" s="218"/>
      <x:c r="I61" s="223">
        <x:f t="shared" ref="I61:I69" si="4">IF(OR(TRIM(C61)="",E61=""),"",IFERROR(_xlfn.LET(_xlpm.x,IF(ISNUMBER(E61),E61,IFERROR(_xlfn.NUMBERVALUE(E61,","," "),IFERROR(_xlfn.NUMBERVALUE(E61,"."," "),""))),_xlpm.z,IF(OR(_xlpm.x="",_xlpm.x&lt;20,_xlpm.x&gt;100),"",MIN(0,(50-_xlpm.x)/10)),IF(_xlpm.z="","",ROUND(_xlpm.z,2))),""))</x:f>
        <x:v>0</x:v>
      </x:c>
      <x:c r="J61" s="231" t="str" cm="1">
        <x:f t="array" ref="J61">IF(OR(TRIM($C61)="",$E61=""),"",IF($F61="Descriptif","Mesure descriptive",IF($F61="Percentile range",IFERROR(_xlfn.LET(_xlpm.rawTxt,SUBSTITUTE(SUBSTITUTE(SUBSTITUTE(SUBSTITUTE(SUBSTITUTE(TRIM($E61&amp;""),"%",""),"–","-"),"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"&amp;_xlpm.highCat)),""),IFERROR(_xlfn.LET(_xlpm.z,IF(ISNUMBER($I61),$I61,IFERROR(_xlfn.NUMBERVALUE($I61,","," "),IFERROR(_xlfn.NUMBERVALUE($I61,"."," "),""))),IF(_xlpm.z="","",_xlfn.IFS(_xlpm.z&gt;=2,"très supérieur",_xlpm.z&gt;=1.33,"supérieur",_xlpm.z&gt;=0.67,"moyenne élevée",_xlpm.z&gt;=-0.7,"moyenne",_xlpm.z&gt;-1.4,"moyenne faible",_xlpm.z&gt;-2.1,"limite",TRUE,"extrêmement faible"))),""))))</x:f>
        <x:v>moyenne</x:v>
      </x:c>
      <x:c r="K61" s="230" t="str">
        <x:f t="shared" si="2"/>
        <x:v>34,5e</x:v>
      </x:c>
      <x:c r="L61" s="229" t="s">
        <x:v>132</x:v>
      </x:c>
    </x:row>
    <x:row r="62" ht="16" customHeight="1">
      <x:c r="B62" s="235"/>
      <x:c r="C62" s="234" t="s">
        <x:v>133</x:v>
      </x:c>
      <x:c r="D62" s="234" t="s">
        <x:v>134</x:v>
      </x:c>
      <x:c r="E62" s="233">
        <x:v>44</x:v>
      </x:c>
      <x:c r="F62" s="232" t="s">
        <x:v>113</x:v>
      </x:c>
      <x:c r="G62" s="217"/>
      <x:c r="H62" s="218"/>
      <x:c r="I62" s="223">
        <x:f t="shared" si="4"/>
        <x:v>0</x:v>
      </x:c>
      <x:c r="J62" s="231" t="str" cm="1">
        <x:f t="array" ref="J62">IF(OR(TRIM($C62)="",$E62=""),"",IF($F62="Descriptif","Mesure descriptive",IF($F62="Percentile range",IFERROR(_xlfn.LET(_xlpm.rawTxt,SUBSTITUTE(SUBSTITUTE(SUBSTITUTE(SUBSTITUTE(SUBSTITUTE(TRIM($E62&amp;""),"%",""),"–","-"),"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"&amp;_xlpm.highCat)),""),IFERROR(_xlfn.LET(_xlpm.z,IF(ISNUMBER($I62),$I62,IFERROR(_xlfn.NUMBERVALUE($I62,","," "),IFERROR(_xlfn.NUMBERVALUE($I62,"."," "),""))),IF(_xlpm.z="","",_xlfn.IFS(_xlpm.z&gt;=2,"très supérieur",_xlpm.z&gt;=1.33,"supérieur",_xlpm.z&gt;=0.67,"moyenne élevée",_xlpm.z&gt;=-0.7,"moyenne",_xlpm.z&gt;-1.4,"moyenne faible",_xlpm.z&gt;-2.1,"limite",TRUE,"extrêmement faible"))),""))))</x:f>
        <x:v>moyenne</x:v>
      </x:c>
      <x:c r="K62" s="230" t="str">
        <x:f t="shared" si="2"/>
        <x:v>27,4e</x:v>
      </x:c>
      <x:c r="L62" s="229" t="s">
        <x:v>135</x:v>
      </x:c>
    </x:row>
    <x:row r="63" ht="16" customHeight="1">
      <x:c r="B63" s="252"/>
      <x:c r="C63" s="251" t="s">
        <x:v>136</x:v>
      </x:c>
      <x:c r="D63" s="251" t="s">
        <x:v>137</x:v>
      </x:c>
      <x:c r="E63" s="250">
        <x:v>52</x:v>
      </x:c>
      <x:c r="F63" s="249" t="s">
        <x:v>113</x:v>
      </x:c>
      <x:c r="G63" s="224"/>
      <x:c r="H63" s="225"/>
      <x:c r="I63" s="223">
        <x:f t="shared" si="4"/>
        <x:v>-0.2</x:v>
      </x:c>
      <x:c r="J63" s="231" t="str" cm="1">
        <x:f t="array" ref="J63">IF(OR(TRIM($C63)="",$E63=""),"",IF($F63="Descriptif","Mesure descriptive",IF($F63="Percentile range",IFERROR(_xlfn.LET(_xlpm.rawTxt,SUBSTITUTE(SUBSTITUTE(SUBSTITUTE(SUBSTITUTE(SUBSTITUTE(TRIM($E63&amp;""),"%",""),"–","-"),"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"&amp;_xlpm.highCat)),""),IFERROR(_xlfn.LET(_xlpm.z,IF(ISNUMBER($I63),$I63,IFERROR(_xlfn.NUMBERVALUE($I63,","," "),IFERROR(_xlfn.NUMBERVALUE($I63,"."," "),""))),IF(_xlpm.z="","",_xlfn.IFS(_xlpm.z&gt;=2,"très supérieur",_xlpm.z&gt;=1.33,"supérieur",_xlpm.z&gt;=0.67,"moyenne élevée",_xlpm.z&gt;=-0.7,"moyenne",_xlpm.z&gt;-1.4,"moyenne faible",_xlpm.z&gt;-2.1,"limite",TRUE,"extrêmement faible"))),""))))</x:f>
        <x:v>moyenne</x:v>
      </x:c>
      <x:c r="K63" s="230" t="str">
        <x:f t="shared" si="2"/>
        <x:v>57,9e</x:v>
      </x:c>
      <x:c r="L63" s="248" t="s">
        <x:v>138</x:v>
      </x:c>
    </x:row>
    <x:row r="64" ht="16" customHeight="1">
      <x:c r="B64" s="235"/>
      <x:c r="C64" s="234" t="s">
        <x:v>139</x:v>
      </x:c>
      <x:c r="D64" s="234" t="s">
        <x:v>140</x:v>
      </x:c>
      <x:c r="E64" s="233">
        <x:v>46</x:v>
      </x:c>
      <x:c r="F64" s="232" t="s">
        <x:v>113</x:v>
      </x:c>
      <x:c r="G64" s="217"/>
      <x:c r="H64" s="218"/>
      <x:c r="I64" s="223">
        <x:f t="shared" si="4"/>
        <x:v>0</x:v>
      </x:c>
      <x:c r="J64" s="231" t="str" cm="1">
        <x:f t="array" ref="J64">IF(OR(TRIM($C64)="",$E64=""),"",IF($F64="Descriptif","Mesure descriptive",IF($F64="Percentile range",IFERROR(_xlfn.LET(_xlpm.rawTxt,SUBSTITUTE(SUBSTITUTE(SUBSTITUTE(SUBSTITUTE(SUBSTITUTE(TRIM($E64&amp;""),"%",""),"–","-"),"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"&amp;_xlpm.highCat)),""),IFERROR(_xlfn.LET(_xlpm.z,IF(ISNUMBER($I64),$I64,IFERROR(_xlfn.NUMBERVALUE($I64,","," "),IFERROR(_xlfn.NUMBERVALUE($I64,"."," "),""))),IF(_xlpm.z="","",_xlfn.IFS(_xlpm.z&gt;=2,"très supérieur",_xlpm.z&gt;=1.33,"supérieur",_xlpm.z&gt;=0.67,"moyenne élevée",_xlpm.z&gt;=-0.7,"moyenne",_xlpm.z&gt;-1.4,"moyenne faible",_xlpm.z&gt;-2.1,"limite",TRUE,"extrêmement faible"))),""))))</x:f>
        <x:v>moyenne</x:v>
      </x:c>
      <x:c r="K64" s="230" t="str">
        <x:f t="shared" si="2"/>
        <x:v>34,5e</x:v>
      </x:c>
      <x:c r="L64" s="229" t="s">
        <x:v>141</x:v>
      </x:c>
    </x:row>
    <x:row r="65" ht="16" customHeight="1">
      <x:c r="B65" s="235"/>
      <x:c r="C65" s="234" t="s">
        <x:v>142</x:v>
      </x:c>
      <x:c r="D65" s="234" t="s">
        <x:v>143</x:v>
      </x:c>
      <x:c r="E65" s="233">
        <x:v>42</x:v>
      </x:c>
      <x:c r="F65" s="232" t="s">
        <x:v>113</x:v>
      </x:c>
      <x:c r="G65" s="217"/>
      <x:c r="H65" s="218"/>
      <x:c r="I65" s="223">
        <x:f t="shared" si="4"/>
        <x:v>0</x:v>
      </x:c>
      <x:c r="J65" s="231" t="str" cm="1">
        <x:f t="array" ref="J65">IF(OR(TRIM($C65)="",$E65=""),"",IF($F65="Descriptif","Mesure descriptive",IF($F65="Percentile range",IFERROR(_xlfn.LET(_xlpm.rawTxt,SUBSTITUTE(SUBSTITUTE(SUBSTITUTE(SUBSTITUTE(SUBSTITUTE(TRIM($E65&amp;""),"%",""),"–","-"),"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"&amp;_xlpm.highCat)),""),IFERROR(_xlfn.LET(_xlpm.z,IF(ISNUMBER($I65),$I65,IFERROR(_xlfn.NUMBERVALUE($I65,","," "),IFERROR(_xlfn.NUMBERVALUE($I65,"."," "),""))),IF(_xlpm.z="","",_xlfn.IFS(_xlpm.z&gt;=2,"très supérieur",_xlpm.z&gt;=1.33,"supérieur",_xlpm.z&gt;=0.67,"moyenne élevée",_xlpm.z&gt;=-0.7,"moyenne",_xlpm.z&gt;-1.4,"moyenne faible",_xlpm.z&gt;-2.1,"limite",TRUE,"extrêmement faible"))),""))))</x:f>
        <x:v>moyenne</x:v>
      </x:c>
      <x:c r="K65" s="230" t="str">
        <x:f t="shared" si="2"/>
        <x:v>21,2e</x:v>
      </x:c>
      <x:c r="L65" s="229" t="s">
        <x:v>144</x:v>
      </x:c>
    </x:row>
    <x:row r="66" ht="16" customHeight="1">
      <x:c r="B66" s="235"/>
      <x:c r="C66" s="234" t="s">
        <x:v>145</x:v>
      </x:c>
      <x:c r="D66" s="234" t="s">
        <x:v>146</x:v>
      </x:c>
      <x:c r="E66" s="233">
        <x:v>37</x:v>
      </x:c>
      <x:c r="F66" s="232" t="s">
        <x:v>113</x:v>
      </x:c>
      <x:c r="G66" s="217"/>
      <x:c r="H66" s="218"/>
      <x:c r="I66" s="223">
        <x:f t="shared" si="4"/>
        <x:v>0</x:v>
      </x:c>
      <x:c r="J66" s="231" t="str" cm="1">
        <x:f t="array" ref="J66">IF(OR(TRIM($C66)="",$E66=""),"",IF($F66="Descriptif","Mesure descriptive",IF($F66="Percentile range",IFERROR(_xlfn.LET(_xlpm.rawTxt,SUBSTITUTE(SUBSTITUTE(SUBSTITUTE(SUBSTITUTE(SUBSTITUTE(TRIM($E66&amp;""),"%",""),"–","-"),"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"&amp;_xlpm.highCat)),""),IFERROR(_xlfn.LET(_xlpm.z,IF(ISNUMBER($I66),$I66,IFERROR(_xlfn.NUMBERVALUE($I66,","," "),IFERROR(_xlfn.NUMBERVALUE($I66,"."," "),""))),IF(_xlpm.z="","",_xlfn.IFS(_xlpm.z&gt;=2,"très supérieur",_xlpm.z&gt;=1.33,"supérieur",_xlpm.z&gt;=0.67,"moyenne élevée",_xlpm.z&gt;=-0.7,"moyenne",_xlpm.z&gt;-1.4,"moyenne faible",_xlpm.z&gt;-2.1,"limite",TRUE,"extrêmement faible"))),""))))</x:f>
        <x:v>moyenne</x:v>
      </x:c>
      <x:c r="K66" s="230" t="str">
        <x:f t="shared" si="2"/>
        <x:v>9,7e</x:v>
      </x:c>
      <x:c r="L66" s="229" t="s">
        <x:v>147</x:v>
      </x:c>
    </x:row>
    <x:row r="67" ht="16" customHeight="1">
      <x:c r="B67" s="235"/>
      <x:c r="C67" s="234" t="s">
        <x:v>148</x:v>
      </x:c>
      <x:c r="D67" s="234" t="s">
        <x:v>146</x:v>
      </x:c>
      <x:c r="E67" s="233">
        <x:v>39</x:v>
      </x:c>
      <x:c r="F67" s="232" t="s">
        <x:v>113</x:v>
      </x:c>
      <x:c r="G67" s="217"/>
      <x:c r="H67" s="218"/>
      <x:c r="I67" s="223">
        <x:f t="shared" si="4"/>
        <x:v>0</x:v>
      </x:c>
      <x:c r="J67" s="231" t="str" cm="1">
        <x:f t="array" ref="J67">IF(OR(TRIM($C67)="",$E67=""),"",IF($F67="Descriptif","Mesure descriptive",IF($F67="Percentile range",IFERROR(_xlfn.LET(_xlpm.rawTxt,SUBSTITUTE(SUBSTITUTE(SUBSTITUTE(SUBSTITUTE(SUBSTITUTE(TRIM($E67&amp;""),"%",""),"–","-"),"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"&amp;_xlpm.highCat)),""),IFERROR(_xlfn.LET(_xlpm.z,IF(ISNUMBER($I67),$I67,IFERROR(_xlfn.NUMBERVALUE($I67,","," "),IFERROR(_xlfn.NUMBERVALUE($I67,"."," "),""))),IF(_xlpm.z="","",_xlfn.IFS(_xlpm.z&gt;=2,"très supérieur",_xlpm.z&gt;=1.33,"supérieur",_xlpm.z&gt;=0.67,"moyenne élevée",_xlpm.z&gt;=-0.7,"moyenne",_xlpm.z&gt;-1.4,"moyenne faible",_xlpm.z&gt;-2.1,"limite",TRUE,"extrêmement faible"))),""))))</x:f>
        <x:v>moyenne</x:v>
      </x:c>
      <x:c r="K67" s="230" t="str">
        <x:f t="shared" si="2"/>
        <x:v>13,6e</x:v>
      </x:c>
      <x:c r="L67" s="229" t="s">
        <x:v>149</x:v>
      </x:c>
    </x:row>
    <x:row r="68" ht="16" customHeight="1">
      <x:c r="B68" s="235"/>
      <x:c r="C68" s="234" t="s">
        <x:v>150</x:v>
      </x:c>
      <x:c r="D68" s="234" t="s">
        <x:v>151</x:v>
      </x:c>
      <x:c r="E68" s="233">
        <x:v>43</x:v>
      </x:c>
      <x:c r="F68" s="232" t="s">
        <x:v>113</x:v>
      </x:c>
      <x:c r="G68" s="217"/>
      <x:c r="H68" s="218"/>
      <x:c r="I68" s="223">
        <x:f t="shared" si="4"/>
        <x:v>0</x:v>
      </x:c>
      <x:c r="J68" s="231" t="str" cm="1">
        <x:f t="array" ref="J68">IF(OR(TRIM($C68)="",$E68=""),"",IF($F68="Descriptif","Mesure descriptive",IF($F68="Percentile range",IFERROR(_xlfn.LET(_xlpm.rawTxt,SUBSTITUTE(SUBSTITUTE(SUBSTITUTE(SUBSTITUTE(SUBSTITUTE(TRIM($E68&amp;""),"%",""),"–","-"),"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"&amp;_xlpm.highCat)),""),IFERROR(_xlfn.LET(_xlpm.z,IF(ISNUMBER($I68),$I68,IFERROR(_xlfn.NUMBERVALUE($I68,","," "),IFERROR(_xlfn.NUMBERVALUE($I68,"."," "),""))),IF(_xlpm.z="","",_xlfn.IFS(_xlpm.z&gt;=2,"très supérieur",_xlpm.z&gt;=1.33,"supérieur",_xlpm.z&gt;=0.67,"moyenne élevée",_xlpm.z&gt;=-0.7,"moyenne",_xlpm.z&gt;-1.4,"moyenne faible",_xlpm.z&gt;-2.1,"limite",TRUE,"extrêmement faible"))),""))))</x:f>
        <x:v>moyenne</x:v>
      </x:c>
      <x:c r="K68" s="230" t="str">
        <x:f t="shared" si="2"/>
        <x:v>24,2e</x:v>
      </x:c>
      <x:c r="L68" s="229" t="s">
        <x:v>152</x:v>
      </x:c>
    </x:row>
    <x:row r="69" ht="16" customHeight="1">
      <x:c r="B69" s="252"/>
      <x:c r="C69" s="251" t="s">
        <x:v>153</x:v>
      </x:c>
      <x:c r="D69" s="251" t="s">
        <x:v>154</x:v>
      </x:c>
      <x:c r="E69" s="250">
        <x:v>52</x:v>
      </x:c>
      <x:c r="F69" s="249" t="s">
        <x:v>113</x:v>
      </x:c>
      <x:c r="G69" s="224"/>
      <x:c r="H69" s="225"/>
      <x:c r="I69" s="223">
        <x:f t="shared" si="4"/>
        <x:v>-0.2</x:v>
      </x:c>
      <x:c r="J69" s="231" t="str" cm="1">
        <x:f t="array" ref="J69">IF(OR(TRIM($C69)="",$E69=""),"",IF($F69="Descriptif","Mesure descriptive",IF($F69="Percentile range",IFERROR(_xlfn.LET(_xlpm.rawTxt,SUBSTITUTE(SUBSTITUTE(SUBSTITUTE(SUBSTITUTE(SUBSTITUTE(TRIM($E69&amp;""),"%",""),"–","-"),"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"&amp;_xlpm.highCat)),""),IFERROR(_xlfn.LET(_xlpm.z,IF(ISNUMBER($I69),$I69,IFERROR(_xlfn.NUMBERVALUE($I69,","," "),IFERROR(_xlfn.NUMBERVALUE($I69,"."," "),""))),IF(_xlpm.z="","",_xlfn.IFS(_xlpm.z&gt;=2,"très supérieur",_xlpm.z&gt;=1.33,"supérieur",_xlpm.z&gt;=0.67,"moyenne élevée",_xlpm.z&gt;=-0.7,"moyenne",_xlpm.z&gt;-1.4,"moyenne faible",_xlpm.z&gt;-2.1,"limite",TRUE,"extrêmement faible"))),""))))</x:f>
        <x:v>moyenne</x:v>
      </x:c>
      <x:c r="K69" s="230" t="str">
        <x:f t="shared" si="2"/>
        <x:v>57,9e</x:v>
      </x:c>
      <x:c r="L69" s="248" t="s">
        <x:v>155</x:v>
      </x:c>
    </x:row>
    <x:row r="70" ht="16" customHeight="1">
      <x:c r="B70" s="247" t="s">
        <x:v>156</x:v>
      </x:c>
      <x:c r="C70" s="246"/>
      <x:c r="D70" s="246"/>
      <x:c r="E70" s="245"/>
      <x:c r="F70" s="244"/>
      <x:c r="G70" s="243"/>
      <x:c r="H70" s="242"/>
      <x:c r="I70" s="223" t="str">
        <x:f>IF(OR(TRIM($C70)="",$E70=""),"",IF($F70="Percentile range",IFERROR(_xlfn.LET(_xlpm.rawTxt,SUBSTITUTE(SUBSTITUTE(SUBSTITUTE(SUBSTITUTE(SUBSTITUTE(TRIM($E70&amp;""),"%",""),"–","-"),"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70,_xlpm.mu,$G70,_xlpm.sd,$H70,_xlpm.x,IF(ISNUMBER($E70),$E70,IFERROR(_xlfn.NUMBERVALUE($E70,","," "),IFERROR(_xlfn.NUMBERVALUE($E70,".","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c>
      <x:c r="J70" s="231" t="str" cm="1">
        <x:f t="array" ref="J70">IF(OR(TRIM($C70)="",$E70=""),"",IF($F70="Descriptif","Mesure descriptive",IF($F70="Percentile range",IFERROR(_xlfn.LET(_xlpm.rawTxt,SUBSTITUTE(SUBSTITUTE(SUBSTITUTE(SUBSTITUTE(SUBSTITUTE(TRIM($E70&amp;""),"%",""),"–","-"),"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"&amp;_xlpm.highCat)),""),IFERROR(_xlfn.LET(_xlpm.z,IF(ISNUMBER($I70),$I70,IFERROR(_xlfn.NUMBERVALUE($I70,","," "),IFERROR(_xlfn.NUMBERVALUE($I70,"."," "),""))),IF(_xlpm.z="","",_xlfn.IFS(_xlpm.z&gt;=2,"très supérieur",_xlpm.z&gt;=1.33,"supérieur",_xlpm.z&gt;=0.67,"moyenne élevée",_xlpm.z&gt;=-0.7,"moyenne",_xlpm.z&gt;-1.4,"moyenne faible",_xlpm.z&gt;-2.1,"limite",TRUE,"extrêmement faible"))),""))))</x:f>
      </x:c>
      <x:c r="K70" s="230" t="str">
        <x:f t="shared" si="2"/>
      </x:c>
      <x:c r="L70" s="241"/>
    </x:row>
    <x:row r="71" ht="16" customHeight="1">
      <x:c r="B71" s="240"/>
      <x:c r="C71" s="239" t="s">
        <x:v>157</x:v>
      </x:c>
      <x:c r="D71" s="239" t="s">
        <x:v>158</x:v>
      </x:c>
      <x:c r="E71" s="238"/>
      <x:c r="F71" s="237"/>
      <x:c r="G71" s="221"/>
      <x:c r="H71" s="222"/>
      <x:c r="I71" s="223" t="str">
        <x:f>IF(OR(TRIM($C71)="",$E71=""),"",IF($F71="Percentile range",IFERROR(_xlfn.LET(_xlpm.rawTxt,SUBSTITUTE(SUBSTITUTE(SUBSTITUTE(SUBSTITUTE(SUBSTITUTE(TRIM($E71&amp;""),"%",""),"–","-"),"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71,_xlpm.mu,$G71,_xlpm.sd,$H71,_xlpm.x,IF(ISNUMBER($E71),$E71,IFERROR(_xlfn.NUMBERVALUE($E71,","," "),IFERROR(_xlfn.NUMBERVALUE($E71,".","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c>
      <x:c r="J71" s="231" t="str" cm="1">
        <x:f t="array" ref="J71">IF(OR(TRIM($C71)="",$E71=""),"",IF($F71="Descriptif","Mesure descriptive",IF($F71="Percentile range",IFERROR(_xlfn.LET(_xlpm.rawTxt,SUBSTITUTE(SUBSTITUTE(SUBSTITUTE(SUBSTITUTE(SUBSTITUTE(TRIM($E71&amp;""),"%",""),"–","-"),"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"&amp;_xlpm.highCat)),""),IFERROR(_xlfn.LET(_xlpm.z,IF(ISNUMBER($I71),$I71,IFERROR(_xlfn.NUMBERVALUE($I71,","," "),IFERROR(_xlfn.NUMBERVALUE($I71,"."," "),""))),IF(_xlpm.z="","",_xlfn.IFS(_xlpm.z&gt;=2,"très supérieur",_xlpm.z&gt;=1.33,"supérieur",_xlpm.z&gt;=0.67,"moyenne élevée",_xlpm.z&gt;=-0.7,"moyenne",_xlpm.z&gt;-1.4,"moyenne faible",_xlpm.z&gt;-2.1,"limite",TRUE,"extrêmement faible"))),""))))</x:f>
      </x:c>
      <x:c r="K71" s="230" t="str">
        <x:f t="shared" si="2"/>
      </x:c>
      <x:c r="L71" s="236"/>
    </x:row>
    <x:row r="72" ht="16" customHeight="1">
      <x:c r="B72" s="235"/>
      <x:c r="C72" s="234" t="s">
        <x:v>159</x:v>
      </x:c>
      <x:c r="D72" s="234" t="s">
        <x:v>160</x:v>
      </x:c>
      <x:c r="E72" s="233">
        <x:v>16</x:v>
      </x:c>
      <x:c r="F72" s="232" t="s">
        <x:v>31</x:v>
      </x:c>
      <x:c r="G72" s="217"/>
      <x:c r="H72" s="218"/>
      <x:c r="I72" s="223">
        <x:f>IF(OR(TRIM($C72)="",$E72=""),"",IF($F72="Percentile range",IFERROR(_xlfn.LET(_xlpm.rawTxt,SUBSTITUTE(SUBSTITUTE(SUBSTITUTE(SUBSTITUTE(SUBSTITUTE(TRIM($E72&amp;""),"%",""),"–","-"),"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72,_xlpm.mu,$G72,_xlpm.sd,$H72,_xlpm.x,IF(ISNUMBER($E72),$E72,IFERROR(_xlfn.NUMBERVALUE($E72,","," "),IFERROR(_xlfn.NUMBERVALUE($E72,".","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2</x:v>
      </x:c>
      <x:c r="J72" s="231" t="str" cm="1">
        <x:f t="array" ref="J72">IF(OR(TRIM($C72)="",$E72=""),"",IF($F72="Descriptif","Mesure descriptive",IF($F72="Percentile range",IFERROR(_xlfn.LET(_xlpm.rawTxt,SUBSTITUTE(SUBSTITUTE(SUBSTITUTE(SUBSTITUTE(SUBSTITUTE(TRIM($E72&amp;""),"%",""),"–","-"),"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"&amp;_xlpm.highCat)),""),IFERROR(_xlfn.LET(_xlpm.z,IF(ISNUMBER($I72),$I72,IFERROR(_xlfn.NUMBERVALUE($I72,","," "),IFERROR(_xlfn.NUMBERVALUE($I72,"."," "),""))),IF(_xlpm.z="","",_xlfn.IFS(_xlpm.z&gt;=2,"très supérieur",_xlpm.z&gt;=1.33,"supérieur",_xlpm.z&gt;=0.67,"moyenne élevée",_xlpm.z&gt;=-0.7,"moyenne",_xlpm.z&gt;-1.4,"moyenne faible",_xlpm.z&gt;-2.1,"limite",TRUE,"extrêmement faible"))),""))))</x:f>
        <x:v>très supérieur</x:v>
      </x:c>
      <x:c r="K72" s="230" t="str">
        <x:f t="shared" ref="K72:K103" si="5">IF(OR(TRIM($C72)="",$E72="",$F72="Descriptif"),"",IF($F72="Percentile range",IFERROR(_xlfn.LET(_xlpm.rawTxt,SUBSTITUTE(SUBSTITUTE(SUBSTITUTE(SUBSTITUTE(SUBSTITUTE(TRIM($E72&amp;""),"%",""),"–","-")," à ","-")," to ","-")," ",""),_xlpm.lowRaw,_xlfn.NUMBERVALUE(_xlfn.TEXTBEFORE(_xlpm.rawTxt,"-"),","," "),_xlpm.highRaw,_xlfn.NUMBERVALUE(_xlfn.TEXTAFTER(_xlpm.rawTxt,"-"),","," "),_xlpm.lowPct,MIN(_xlpm.lowRaw,_xlpm.highRaw),_xlpm.highPct,MAX(_xlpm.lowRaw,_xlpm.highRaw),_xlpm.lowTxt,IF(_xlpm.lowPct&lt;0.1,"&lt;0,1e",IF(_xlpm.lowPct=1,"1er",SUBSTITUTE(TEXT(_xlpm.lowPct,"0.0"),".",",")&amp;"e")),_xlpm.highTxt,IF(_xlpm.highPct&lt;0.1,"&lt;0,1e",IF(_xlpm.highPct=1,"1er",SUBSTITUTE(TEXT(_xlpm.highPct,"0.0"),".",",")&amp;"e")),_xlpm.lowTxt&amp;" à "&amp;_xlpm.highTxt),""),IFERROR(_xlfn.LET(_xlpm.m,$F72,_xlpm.mu,$G72,_xlpm.sd,$H72,_xlpm.x,IF(ISNUMBER($E72),$E72,IFERROR(_xlfn.NUMBERVALUE($E72,","," "),IFERROR(_xlfn.NUMBERVALUE($E72,".","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_xlfn.LET(_xlpm.rawP,_xlfn.NORM.S.DIST(_xlpm.z,TRUE)*100,_xlpm.p,MIN(99.9,ROUND(_xlpm.rawP,1)),IF(_xlpm.rawP&lt;0.1,"&lt;0,1e",IF(_xlpm.p=1,"1er",SUBSTITUTE(TEXT(_xlpm.p,"0.0"),".",",")&amp;"e"))))),"")))</x:f>
        <x:v>97,7e</x:v>
      </x:c>
      <x:c r="L72" s="229" t="s">
        <x:v>161</x:v>
      </x:c>
    </x:row>
    <x:row r="73" ht="16" customHeight="1">
      <x:c r="B73" s="235"/>
      <x:c r="C73" s="234" t="s">
        <x:v>162</x:v>
      </x:c>
      <x:c r="D73" s="234" t="s">
        <x:v>163</x:v>
      </x:c>
      <x:c r="E73" s="233">
        <x:v>13</x:v>
      </x:c>
      <x:c r="F73" s="232" t="s">
        <x:v>31</x:v>
      </x:c>
      <x:c r="G73" s="217"/>
      <x:c r="H73" s="218"/>
      <x:c r="I73" s="223">
        <x:f>IF(OR(TRIM($C73)="",$E73=""),"",IF($F73="Percentile range",IFERROR(_xlfn.LET(_xlpm.rawTxt,SUBSTITUTE(SUBSTITUTE(SUBSTITUTE(SUBSTITUTE(SUBSTITUTE(TRIM($E73&amp;""),"%",""),"–","-"),"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73,_xlpm.mu,$G73,_xlpm.sd,$H73,_xlpm.x,IF(ISNUMBER($E73),$E73,IFERROR(_xlfn.NUMBERVALUE($E73,","," "),IFERROR(_xlfn.NUMBERVALUE($E73,".","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1</x:v>
      </x:c>
      <x:c r="J73" s="231" t="str" cm="1">
        <x:f t="array" ref="J73">IF(OR(TRIM($C73)="",$E73=""),"",IF($F73="Descriptif","Mesure descriptive",IF($F73="Percentile range",IFERROR(_xlfn.LET(_xlpm.rawTxt,SUBSTITUTE(SUBSTITUTE(SUBSTITUTE(SUBSTITUTE(SUBSTITUTE(TRIM($E73&amp;""),"%",""),"–","-"),"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"&amp;_xlpm.highCat)),""),IFERROR(_xlfn.LET(_xlpm.z,IF(ISNUMBER($I73),$I73,IFERROR(_xlfn.NUMBERVALUE($I73,","," "),IFERROR(_xlfn.NUMBERVALUE($I73,"."," "),""))),IF(_xlpm.z="","",_xlfn.IFS(_xlpm.z&gt;=2,"très supérieur",_xlpm.z&gt;=1.33,"supérieur",_xlpm.z&gt;=0.67,"moyenne élevée",_xlpm.z&gt;=-0.7,"moyenne",_xlpm.z&gt;-1.4,"moyenne faible",_xlpm.z&gt;-2.1,"limite",TRUE,"extrêmement faible"))),""))))</x:f>
        <x:v>moyenne élevée</x:v>
      </x:c>
      <x:c r="K73" s="230" t="str">
        <x:f t="shared" si="5"/>
        <x:v>84,1e</x:v>
      </x:c>
      <x:c r="L73" s="229" t="s">
        <x:v>164</x:v>
      </x:c>
    </x:row>
    <x:row r="74" ht="16" customHeight="1">
      <x:c r="B74" s="235"/>
      <x:c r="C74" s="234" t="s">
        <x:v>165</x:v>
      </x:c>
      <x:c r="D74" s="234" t="s">
        <x:v>166</x:v>
      </x:c>
      <x:c r="E74" s="233">
        <x:v>12</x:v>
      </x:c>
      <x:c r="F74" s="232" t="s">
        <x:v>31</x:v>
      </x:c>
      <x:c r="G74" s="217"/>
      <x:c r="H74" s="218"/>
      <x:c r="I74" s="223">
        <x:f>IF(OR(TRIM(C74)="",E74=""),"",IFERROR(_xlfn.LET(_xlpm.x,IF(ISNUMBER(E74),E74,IFERROR(_xlfn.NUMBERVALUE(E74,","," "),IFERROR(_xlfn.NUMBERVALUE(E74,"."," "),""))),_xlpm.z,IF(OR(_xlpm.x="",_xlpm.x&lt;1,_xlpm.x&gt;19),"",MIN(0,(_xlpm.x-10)/3)),IF(_xlpm.z="","",ROUND(_xlpm.z,2))),""))</x:f>
        <x:v>0</x:v>
      </x:c>
      <x:c r="J74" s="231" t="str" cm="1">
        <x:f t="array" ref="J74">IF(OR(TRIM($C74)="",$E74=""),"",IF($F74="Descriptif","Mesure descriptive",IF($F74="Percentile range",IFERROR(_xlfn.LET(_xlpm.rawTxt,SUBSTITUTE(SUBSTITUTE(SUBSTITUTE(SUBSTITUTE(SUBSTITUTE(TRIM($E74&amp;""),"%",""),"–","-"),"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"&amp;_xlpm.highCat)),""),IFERROR(_xlfn.LET(_xlpm.z,IF(ISNUMBER($I74),$I74,IFERROR(_xlfn.NUMBERVALUE($I74,","," "),IFERROR(_xlfn.NUMBERVALUE($I74,"."," "),""))),IF(_xlpm.z="","",_xlfn.IFS(_xlpm.z&gt;=2,"très supérieur",_xlpm.z&gt;=1.33,"supérieur",_xlpm.z&gt;=0.67,"moyenne élevée",_xlpm.z&gt;=-0.7,"moyenne",_xlpm.z&gt;-1.4,"moyenne faible",_xlpm.z&gt;-2.1,"limite",TRUE,"extrêmement faible"))),""))))</x:f>
        <x:v>moyenne</x:v>
      </x:c>
      <x:c r="K74" s="230" t="str">
        <x:f t="shared" si="5"/>
        <x:v>74,8e</x:v>
      </x:c>
      <x:c r="L74" s="229" t="s">
        <x:v>167</x:v>
      </x:c>
    </x:row>
    <x:row r="75" ht="16" customHeight="1">
      <x:c r="B75" s="235"/>
      <x:c r="C75" s="234" t="s">
        <x:v>168</x:v>
      </x:c>
      <x:c r="D75" s="234" t="s">
        <x:v>166</x:v>
      </x:c>
      <x:c r="E75" s="233">
        <x:v>11</x:v>
      </x:c>
      <x:c r="F75" s="232" t="s">
        <x:v>31</x:v>
      </x:c>
      <x:c r="G75" s="217"/>
      <x:c r="H75" s="218"/>
      <x:c r="I75" s="223">
        <x:f>IF(OR(TRIM(C75)="",E75=""),"",IFERROR(_xlfn.LET(_xlpm.x,IF(ISNUMBER(E75),E75,IFERROR(_xlfn.NUMBERVALUE(E75,","," "),IFERROR(_xlfn.NUMBERVALUE(E75,"."," "),""))),_xlpm.z,IF(OR(_xlpm.x="",_xlpm.x&lt;1,_xlpm.x&gt;19),"",MIN(0,(_xlpm.x-10)/3)),IF(_xlpm.z="","",ROUND(_xlpm.z,2))),""))</x:f>
        <x:v>0</x:v>
      </x:c>
      <x:c r="J75" s="231" t="str" cm="1">
        <x:f t="array" ref="J75">IF(OR(TRIM($C75)="",$E75=""),"",IF($F75="Descriptif","Mesure descriptive",IF($F75="Percentile range",IFERROR(_xlfn.LET(_xlpm.rawTxt,SUBSTITUTE(SUBSTITUTE(SUBSTITUTE(SUBSTITUTE(SUBSTITUTE(TRIM($E75&amp;""),"%",""),"–","-"),"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"&amp;_xlpm.highCat)),""),IFERROR(_xlfn.LET(_xlpm.z,IF(ISNUMBER($I75),$I75,IFERROR(_xlfn.NUMBERVALUE($I75,","," "),IFERROR(_xlfn.NUMBERVALUE($I75,"."," "),""))),IF(_xlpm.z="","",_xlfn.IFS(_xlpm.z&gt;=2,"très supérieur",_xlpm.z&gt;=1.33,"supérieur",_xlpm.z&gt;=0.67,"moyenne élevée",_xlpm.z&gt;=-0.7,"moyenne",_xlpm.z&gt;-1.4,"moyenne faible",_xlpm.z&gt;-2.1,"limite",TRUE,"extrêmement faible"))),""))))</x:f>
        <x:v>moyenne</x:v>
      </x:c>
      <x:c r="K75" s="230" t="str">
        <x:f t="shared" si="5"/>
        <x:v>63,1e</x:v>
      </x:c>
      <x:c r="L75" s="229" t="s">
        <x:v>169</x:v>
      </x:c>
    </x:row>
    <x:row r="76" ht="16" customHeight="1">
      <x:c r="B76" s="235"/>
      <x:c r="C76" s="234" t="s">
        <x:v>170</x:v>
      </x:c>
      <x:c r="D76" s="234" t="s">
        <x:v>171</x:v>
      </x:c>
      <x:c r="E76" s="233">
        <x:v>17</x:v>
      </x:c>
      <x:c r="F76" s="232" t="s">
        <x:v>31</x:v>
      </x:c>
      <x:c r="G76" s="217"/>
      <x:c r="H76" s="218"/>
      <x:c r="I76" s="223">
        <x:f t="shared" ref="I76:I104" si="6">IF(OR(TRIM($C76)="",$E76=""),"",IF($F76="Percentile range",IFERROR(_xlfn.LET(_xlpm.rawTxt,SUBSTITUTE(SUBSTITUTE(SUBSTITUTE(SUBSTITUTE(SUBSTITUTE(TRIM($E76&amp;""),"%",""),"–","-"),"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76,_xlpm.mu,$G76,_xlpm.sd,$H76,_xlpm.x,IF(ISNUMBER($E76),$E76,IFERROR(_xlfn.NUMBERVALUE($E76,","," "),IFERROR(_xlfn.NUMBERVALUE($E76,".","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2.33</x:v>
      </x:c>
      <x:c r="J76" s="231" t="str" cm="1">
        <x:f t="array" ref="J76">IF(OR(TRIM($C76)="",$E76=""),"",IF($F76="Descriptif","Mesure descriptive",IF($F76="Percentile range",IFERROR(_xlfn.LET(_xlpm.rawTxt,SUBSTITUTE(SUBSTITUTE(SUBSTITUTE(SUBSTITUTE(SUBSTITUTE(TRIM($E76&amp;""),"%",""),"–","-"),"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"&amp;_xlpm.highCat)),""),IFERROR(_xlfn.LET(_xlpm.z,IF(ISNUMBER($I76),$I76,IFERROR(_xlfn.NUMBERVALUE($I76,","," "),IFERROR(_xlfn.NUMBERVALUE($I76,"."," "),""))),IF(_xlpm.z="","",_xlfn.IFS(_xlpm.z&gt;=2,"très supérieur",_xlpm.z&gt;=1.33,"supérieur",_xlpm.z&gt;=0.67,"moyenne élevée",_xlpm.z&gt;=-0.7,"moyenne",_xlpm.z&gt;-1.4,"moyenne faible",_xlpm.z&gt;-2.1,"limite",TRUE,"extrêmement faible"))),""))))</x:f>
        <x:v>très supérieur</x:v>
      </x:c>
      <x:c r="K76" s="230" t="str">
        <x:f t="shared" si="5"/>
        <x:v>99,0e</x:v>
      </x:c>
      <x:c r="L76" s="229" t="s">
        <x:v>172</x:v>
      </x:c>
    </x:row>
    <x:row r="77" ht="16" customHeight="1">
      <x:c r="B77" s="235"/>
      <x:c r="C77" s="234" t="s">
        <x:v>173</x:v>
      </x:c>
      <x:c r="D77" s="234" t="s">
        <x:v>174</x:v>
      </x:c>
      <x:c r="E77" s="233">
        <x:v>12</x:v>
      </x:c>
      <x:c r="F77" s="232" t="s">
        <x:v>31</x:v>
      </x:c>
      <x:c r="G77" s="217"/>
      <x:c r="H77" s="218"/>
      <x:c r="I77" s="223">
        <x:f t="shared" si="6"/>
        <x:v>0.67</x:v>
      </x:c>
      <x:c r="J77" s="231" t="str" cm="1">
        <x:f t="array" ref="J77">IF(OR(TRIM($C77)="",$E77=""),"",IF($F77="Descriptif","Mesure descriptive",IF($F77="Percentile range",IFERROR(_xlfn.LET(_xlpm.rawTxt,SUBSTITUTE(SUBSTITUTE(SUBSTITUTE(SUBSTITUTE(SUBSTITUTE(TRIM($E77&amp;""),"%",""),"–","-"),"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"&amp;_xlpm.highCat)),""),IFERROR(_xlfn.LET(_xlpm.z,IF(ISNUMBER($I77),$I77,IFERROR(_xlfn.NUMBERVALUE($I77,","," "),IFERROR(_xlfn.NUMBERVALUE($I77,"."," "),""))),IF(_xlpm.z="","",_xlfn.IFS(_xlpm.z&gt;=2,"très supérieur",_xlpm.z&gt;=1.33,"supérieur",_xlpm.z&gt;=0.67,"moyenne élevée",_xlpm.z&gt;=-0.7,"moyenne",_xlpm.z&gt;-1.4,"moyenne faible",_xlpm.z&gt;-2.1,"limite",TRUE,"extrêmement faible"))),""))))</x:f>
        <x:v>moyenne élevée</x:v>
      </x:c>
      <x:c r="K77" s="230" t="str">
        <x:f t="shared" si="5"/>
        <x:v>74,8e</x:v>
      </x:c>
      <x:c r="L77" s="229"/>
    </x:row>
    <x:row r="78" ht="16" customHeight="1">
      <x:c r="B78" s="235"/>
      <x:c r="C78" s="234" t="s">
        <x:v>175</x:v>
      </x:c>
      <x:c r="D78" s="234" t="s">
        <x:v>176</x:v>
      </x:c>
      <x:c r="E78" s="233">
        <x:v>7</x:v>
      </x:c>
      <x:c r="F78" s="232" t="s">
        <x:v>31</x:v>
      </x:c>
      <x:c r="G78" s="217"/>
      <x:c r="H78" s="218"/>
      <x:c r="I78" s="223">
        <x:f t="shared" si="6"/>
        <x:v>-1</x:v>
      </x:c>
      <x:c r="J78" s="231" t="str" cm="1">
        <x:f t="array" ref="J78">IF(OR(TRIM($C78)="",$E78=""),"",IF($F78="Descriptif","Mesure descriptive",IF($F78="Percentile range",IFERROR(_xlfn.LET(_xlpm.rawTxt,SUBSTITUTE(SUBSTITUTE(SUBSTITUTE(SUBSTITUTE(SUBSTITUTE(TRIM($E78&amp;""),"%",""),"–","-"),"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"&amp;_xlpm.highCat)),""),IFERROR(_xlfn.LET(_xlpm.z,IF(ISNUMBER($I78),$I78,IFERROR(_xlfn.NUMBERVALUE($I78,","," "),IFERROR(_xlfn.NUMBERVALUE($I78,"."," "),""))),IF(_xlpm.z="","",_xlfn.IFS(_xlpm.z&gt;=2,"très supérieur",_xlpm.z&gt;=1.33,"supérieur",_xlpm.z&gt;=0.67,"moyenne élevée",_xlpm.z&gt;=-0.7,"moyenne",_xlpm.z&gt;-1.4,"moyenne faible",_xlpm.z&gt;-2.1,"limite",TRUE,"extrêmement faible"))),""))))</x:f>
        <x:v>moyenne faible</x:v>
      </x:c>
      <x:c r="K78" s="230" t="str">
        <x:f t="shared" si="5"/>
        <x:v>15,9e</x:v>
      </x:c>
      <x:c r="L78" s="229"/>
    </x:row>
    <x:row r="79" ht="16" customHeight="1">
      <x:c r="B79" s="235"/>
      <x:c r="C79" s="234" t="s">
        <x:v>177</x:v>
      </x:c>
      <x:c r="D79" s="234" t="s">
        <x:v>178</x:v>
      </x:c>
      <x:c r="E79" s="233">
        <x:v>14</x:v>
      </x:c>
      <x:c r="F79" s="232" t="s">
        <x:v>31</x:v>
      </x:c>
      <x:c r="G79" s="217"/>
      <x:c r="H79" s="218"/>
      <x:c r="I79" s="223">
        <x:f t="shared" si="6"/>
        <x:v>1.33</x:v>
      </x:c>
      <x:c r="J79" s="231" t="str" cm="1">
        <x:f t="array" ref="J79">IF(OR(TRIM($C79)="",$E79=""),"",IF($F79="Descriptif","Mesure descriptive",IF($F79="Percentile range",IFERROR(_xlfn.LET(_xlpm.rawTxt,SUBSTITUTE(SUBSTITUTE(SUBSTITUTE(SUBSTITUTE(SUBSTITUTE(TRIM($E79&amp;""),"%",""),"–","-"),"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"&amp;_xlpm.highCat)),""),IFERROR(_xlfn.LET(_xlpm.z,IF(ISNUMBER($I79),$I79,IFERROR(_xlfn.NUMBERVALUE($I79,","," "),IFERROR(_xlfn.NUMBERVALUE($I79,"."," "),""))),IF(_xlpm.z="","",_xlfn.IFS(_xlpm.z&gt;=2,"très supérieur",_xlpm.z&gt;=1.33,"supérieur",_xlpm.z&gt;=0.67,"moyenne élevée",_xlpm.z&gt;=-0.7,"moyenne",_xlpm.z&gt;-1.4,"moyenne faible",_xlpm.z&gt;-2.1,"limite",TRUE,"extrêmement faible"))),""))))</x:f>
        <x:v>supérieur</x:v>
      </x:c>
      <x:c r="K79" s="230" t="str">
        <x:f t="shared" si="5"/>
        <x:v>90,9e</x:v>
      </x:c>
      <x:c r="L79" s="229" t="s">
        <x:v>179</x:v>
      </x:c>
    </x:row>
    <x:row r="80" ht="16" customHeight="1">
      <x:c r="B80" s="252"/>
      <x:c r="C80" s="251" t="s">
        <x:v>180</x:v>
      </x:c>
      <x:c r="D80" s="251" t="s">
        <x:v>181</x:v>
      </x:c>
      <x:c r="E80" s="250">
        <x:v>11</x:v>
      </x:c>
      <x:c r="F80" s="249" t="s">
        <x:v>31</x:v>
      </x:c>
      <x:c r="G80" s="224"/>
      <x:c r="H80" s="225"/>
      <x:c r="I80" s="223">
        <x:f t="shared" si="6"/>
        <x:v>0.33</x:v>
      </x:c>
      <x:c r="J80" s="231" t="str" cm="1">
        <x:f t="array" ref="J80">IF(OR(TRIM($C80)="",$E80=""),"",IF($F80="Descriptif","Mesure descriptive",IF($F80="Percentile range",IFERROR(_xlfn.LET(_xlpm.rawTxt,SUBSTITUTE(SUBSTITUTE(SUBSTITUTE(SUBSTITUTE(SUBSTITUTE(TRIM($E80&amp;""),"%",""),"–","-"),"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"&amp;_xlpm.highCat)),""),IFERROR(_xlfn.LET(_xlpm.z,IF(ISNUMBER($I80),$I80,IFERROR(_xlfn.NUMBERVALUE($I80,","," "),IFERROR(_xlfn.NUMBERVALUE($I80,"."," "),""))),IF(_xlpm.z="","",_xlfn.IFS(_xlpm.z&gt;=2,"très supérieur",_xlpm.z&gt;=1.33,"supérieur",_xlpm.z&gt;=0.67,"moyenne élevée",_xlpm.z&gt;=-0.7,"moyenne",_xlpm.z&gt;-1.4,"moyenne faible",_xlpm.z&gt;-2.1,"limite",TRUE,"extrêmement faible"))),""))))</x:f>
        <x:v>moyenne</x:v>
      </x:c>
      <x:c r="K80" s="230" t="str">
        <x:f t="shared" si="5"/>
        <x:v>63,1e</x:v>
      </x:c>
      <x:c r="L80" s="248"/>
    </x:row>
    <x:row r="81" ht="24" customHeight="1">
      <x:c r="B81" s="247" t="s">
        <x:v>182</x:v>
      </x:c>
      <x:c r="C81" s="246"/>
      <x:c r="D81" s="246"/>
      <x:c r="E81" s="245"/>
      <x:c r="F81" s="244"/>
      <x:c r="G81" s="243"/>
      <x:c r="H81" s="242"/>
      <x:c r="I81" s="223" t="str">
        <x:f t="shared" si="6"/>
      </x:c>
      <x:c r="J81" s="231" t="str" cm="1">
        <x:f t="array" ref="J81">IF(OR(TRIM($C81)="",$E81=""),"",IF($F81="Descriptif","Mesure descriptive",IF($F81="Percentile range",IFERROR(_xlfn.LET(_xlpm.rawTxt,SUBSTITUTE(SUBSTITUTE(SUBSTITUTE(SUBSTITUTE(SUBSTITUTE(TRIM($E81&amp;""),"%",""),"–","-"),"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"&amp;_xlpm.highCat)),""),IFERROR(_xlfn.LET(_xlpm.z,IF(ISNUMBER($I81),$I81,IFERROR(_xlfn.NUMBERVALUE($I81,","," "),IFERROR(_xlfn.NUMBERVALUE($I81,"."," "),""))),IF(_xlpm.z="","",_xlfn.IFS(_xlpm.z&gt;=2,"très supérieur",_xlpm.z&gt;=1.33,"supérieur",_xlpm.z&gt;=0.67,"moyenne élevée",_xlpm.z&gt;=-0.7,"moyenne",_xlpm.z&gt;-1.4,"moyenne faible",_xlpm.z&gt;-2.1,"limite",TRUE,"extrêmement faible"))),""))))</x:f>
      </x:c>
      <x:c r="K81" s="230" t="str">
        <x:f t="shared" si="5"/>
      </x:c>
      <x:c r="L81" s="241"/>
    </x:row>
    <x:row r="82" ht="16" customHeight="1">
      <x:c r="B82" s="240"/>
      <x:c r="C82" s="239" t="s">
        <x:v>183</x:v>
      </x:c>
      <x:c r="D82" s="239" t="s">
        <x:v>184</x:v>
      </x:c>
      <x:c r="E82" s="238"/>
      <x:c r="F82" s="237"/>
      <x:c r="G82" s="221"/>
      <x:c r="H82" s="222"/>
      <x:c r="I82" s="223" t="str">
        <x:f t="shared" si="6"/>
      </x:c>
      <x:c r="J82" s="231" t="str" cm="1">
        <x:f t="array" ref="J82">IF(OR(TRIM($C82)="",$E82=""),"",IF($F82="Descriptif","Mesure descriptive",IF($F82="Percentile range",IFERROR(_xlfn.LET(_xlpm.rawTxt,SUBSTITUTE(SUBSTITUTE(SUBSTITUTE(SUBSTITUTE(SUBSTITUTE(TRIM($E82&amp;""),"%",""),"–","-"),"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"&amp;_xlpm.highCat)),""),IFERROR(_xlfn.LET(_xlpm.z,IF(ISNUMBER($I82),$I82,IFERROR(_xlfn.NUMBERVALUE($I82,","," "),IFERROR(_xlfn.NUMBERVALUE($I82,"."," "),""))),IF(_xlpm.z="","",_xlfn.IFS(_xlpm.z&gt;=2,"très supérieur",_xlpm.z&gt;=1.33,"supérieur",_xlpm.z&gt;=0.67,"moyenne élevée",_xlpm.z&gt;=-0.7,"moyenne",_xlpm.z&gt;-1.4,"moyenne faible",_xlpm.z&gt;-2.1,"limite",TRUE,"extrêmement faible"))),""))))</x:f>
      </x:c>
      <x:c r="K82" s="230" t="str">
        <x:f t="shared" si="5"/>
      </x:c>
      <x:c r="L82" s="236"/>
    </x:row>
    <x:row r="83" ht="16" customHeight="1">
      <x:c r="B83" s="235"/>
      <x:c r="C83" s="234" t="s">
        <x:v>185</x:v>
      </x:c>
      <x:c r="D83" s="234" t="s">
        <x:v>186</x:v>
      </x:c>
      <x:c r="E83" s="233">
        <x:v>108</x:v>
      </x:c>
      <x:c r="F83" s="232" t="s">
        <x:v>26</x:v>
      </x:c>
      <x:c r="G83" s="217"/>
      <x:c r="H83" s="218"/>
      <x:c r="I83" s="223">
        <x:f t="shared" si="6"/>
        <x:v>0.53</x:v>
      </x:c>
      <x:c r="J83" s="231" t="str" cm="1">
        <x:f t="array" ref="J83">IF(OR(TRIM($C83)="",$E83=""),"",IF($F83="Descriptif","Mesure descriptive",IF($F83="Percentile range",IFERROR(_xlfn.LET(_xlpm.rawTxt,SUBSTITUTE(SUBSTITUTE(SUBSTITUTE(SUBSTITUTE(SUBSTITUTE(TRIM($E83&amp;""),"%",""),"–","-"),"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"&amp;_xlpm.highCat)),""),IFERROR(_xlfn.LET(_xlpm.z,IF(ISNUMBER($I83),$I83,IFERROR(_xlfn.NUMBERVALUE($I83,","," "),IFERROR(_xlfn.NUMBERVALUE($I83,"."," "),""))),IF(_xlpm.z="","",_xlfn.IFS(_xlpm.z&gt;=2,"très supérieur",_xlpm.z&gt;=1.33,"supérieur",_xlpm.z&gt;=0.67,"moyenne élevée",_xlpm.z&gt;=-0.7,"moyenne",_xlpm.z&gt;-1.4,"moyenne faible",_xlpm.z&gt;-2.1,"limite",TRUE,"extrêmement faible"))),""))))</x:f>
        <x:v>moyenne</x:v>
      </x:c>
      <x:c r="K83" s="230" t="str">
        <x:f t="shared" si="5"/>
        <x:v>70,3e</x:v>
      </x:c>
      <x:c r="L83" s="229"/>
    </x:row>
    <x:row r="84" ht="16" customHeight="1">
      <x:c r="B84" s="235"/>
      <x:c r="C84" s="234" t="s">
        <x:v>187</x:v>
      </x:c>
      <x:c r="D84" s="234" t="s">
        <x:v>184</x:v>
      </x:c>
      <x:c r="E84" s="233">
        <x:v>100</x:v>
      </x:c>
      <x:c r="F84" s="232" t="s">
        <x:v>26</x:v>
      </x:c>
      <x:c r="G84" s="217"/>
      <x:c r="H84" s="218"/>
      <x:c r="I84" s="223">
        <x:f t="shared" si="6"/>
        <x:v>0</x:v>
      </x:c>
      <x:c r="J84" s="231" t="str" cm="1">
        <x:f t="array" ref="J84">IF(OR(TRIM($C84)="",$E84=""),"",IF($F84="Descriptif","Mesure descriptive",IF($F84="Percentile range",IFERROR(_xlfn.LET(_xlpm.rawTxt,SUBSTITUTE(SUBSTITUTE(SUBSTITUTE(SUBSTITUTE(SUBSTITUTE(TRIM($E84&amp;""),"%",""),"–","-"),"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"&amp;_xlpm.highCat)),""),IFERROR(_xlfn.LET(_xlpm.z,IF(ISNUMBER($I84),$I84,IFERROR(_xlfn.NUMBERVALUE($I84,","," "),IFERROR(_xlfn.NUMBERVALUE($I84,"."," "),""))),IF(_xlpm.z="","",_xlfn.IFS(_xlpm.z&gt;=2,"très supérieur",_xlpm.z&gt;=1.33,"supérieur",_xlpm.z&gt;=0.67,"moyenne élevée",_xlpm.z&gt;=-0.7,"moyenne",_xlpm.z&gt;-1.4,"moyenne faible",_xlpm.z&gt;-2.1,"limite",TRUE,"extrêmement faible"))),""))))</x:f>
        <x:v>moyenne</x:v>
      </x:c>
      <x:c r="K84" s="230" t="str">
        <x:f t="shared" si="5"/>
        <x:v>50,0e</x:v>
      </x:c>
      <x:c r="L84" s="229"/>
    </x:row>
    <x:row r="85" ht="16" customHeight="1">
      <x:c r="B85" s="235"/>
      <x:c r="C85" s="234" t="s">
        <x:v>188</x:v>
      </x:c>
      <x:c r="D85" s="234" t="s">
        <x:v>189</x:v>
      </x:c>
      <x:c r="E85" s="233">
        <x:v>148</x:v>
      </x:c>
      <x:c r="F85" s="232" t="s">
        <x:v>26</x:v>
      </x:c>
      <x:c r="G85" s="217"/>
      <x:c r="H85" s="218"/>
      <x:c r="I85" s="223">
        <x:f t="shared" si="6"/>
        <x:v>3.2</x:v>
      </x:c>
      <x:c r="J85" s="231" t="str" cm="1">
        <x:f t="array" ref="J85">IF(OR(TRIM($C85)="",$E85=""),"",IF($F85="Descriptif","Mesure descriptive",IF($F85="Percentile range",IFERROR(_xlfn.LET(_xlpm.rawTxt,SUBSTITUTE(SUBSTITUTE(SUBSTITUTE(SUBSTITUTE(SUBSTITUTE(TRIM($E85&amp;""),"%",""),"–","-"),"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"&amp;_xlpm.highCat)),""),IFERROR(_xlfn.LET(_xlpm.z,IF(ISNUMBER($I85),$I85,IFERROR(_xlfn.NUMBERVALUE($I85,","," "),IFERROR(_xlfn.NUMBERVALUE($I85,"."," "),""))),IF(_xlpm.z="","",_xlfn.IFS(_xlpm.z&gt;=2,"très supérieur",_xlpm.z&gt;=1.33,"supérieur",_xlpm.z&gt;=0.67,"moyenne élevée",_xlpm.z&gt;=-0.7,"moyenne",_xlpm.z&gt;-1.4,"moyenne faible",_xlpm.z&gt;-2.1,"limite",TRUE,"extrêmement faible"))),""))))</x:f>
        <x:v>très supérieur</x:v>
      </x:c>
      <x:c r="K85" s="230" t="str">
        <x:f t="shared" si="5"/>
        <x:v>99,9e</x:v>
      </x:c>
      <x:c r="L85" s="229" t="s">
        <x:v>190</x:v>
      </x:c>
    </x:row>
    <x:row r="86" ht="16" customHeight="1">
      <x:c r="B86" s="235"/>
      <x:c r="C86" s="234" t="s">
        <x:v>191</x:v>
      </x:c>
      <x:c r="D86" s="234" t="s">
        <x:v>192</x:v>
      </x:c>
      <x:c r="E86" s="233">
        <x:v>102</x:v>
      </x:c>
      <x:c r="F86" s="232" t="s">
        <x:v>26</x:v>
      </x:c>
      <x:c r="G86" s="217"/>
      <x:c r="H86" s="218"/>
      <x:c r="I86" s="223">
        <x:f t="shared" si="6"/>
        <x:v>0.13</x:v>
      </x:c>
      <x:c r="J86" s="231" t="str" cm="1">
        <x:f t="array" ref="J86">IF(OR(TRIM($C86)="",$E86=""),"",IF($F86="Descriptif","Mesure descriptive",IF($F86="Percentile range",IFERROR(_xlfn.LET(_xlpm.rawTxt,SUBSTITUTE(SUBSTITUTE(SUBSTITUTE(SUBSTITUTE(SUBSTITUTE(TRIM($E86&amp;""),"%",""),"–","-"),"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"&amp;_xlpm.highCat)),""),IFERROR(_xlfn.LET(_xlpm.z,IF(ISNUMBER($I86),$I86,IFERROR(_xlfn.NUMBERVALUE($I86,","," "),IFERROR(_xlfn.NUMBERVALUE($I86,"."," "),""))),IF(_xlpm.z="","",_xlfn.IFS(_xlpm.z&gt;=2,"très supérieur",_xlpm.z&gt;=1.33,"supérieur",_xlpm.z&gt;=0.67,"moyenne élevée",_xlpm.z&gt;=-0.7,"moyenne",_xlpm.z&gt;-1.4,"moyenne faible",_xlpm.z&gt;-2.1,"limite",TRUE,"extrêmement faible"))),""))))</x:f>
        <x:v>moyenne</x:v>
      </x:c>
      <x:c r="K86" s="230" t="str">
        <x:f t="shared" si="5"/>
        <x:v>55,3e</x:v>
      </x:c>
      <x:c r="L86" s="229"/>
    </x:row>
    <x:row r="87" ht="16" customHeight="1">
      <x:c r="B87" s="235"/>
      <x:c r="C87" s="234" t="s">
        <x:v>193</x:v>
      </x:c>
      <x:c r="D87" s="234" t="s">
        <x:v>194</x:v>
      </x:c>
      <x:c r="E87" s="233">
        <x:v>76</x:v>
      </x:c>
      <x:c r="F87" s="232" t="s">
        <x:v>26</x:v>
      </x:c>
      <x:c r="G87" s="217"/>
      <x:c r="H87" s="218"/>
      <x:c r="I87" s="223">
        <x:f t="shared" si="6"/>
        <x:v>-1.6</x:v>
      </x:c>
      <x:c r="J87" s="231" t="str" cm="1">
        <x:f t="array" ref="J87">IF(OR(TRIM($C87)="",$E87=""),"",IF($F87="Descriptif","Mesure descriptive",IF($F87="Percentile range",IFERROR(_xlfn.LET(_xlpm.rawTxt,SUBSTITUTE(SUBSTITUTE(SUBSTITUTE(SUBSTITUTE(SUBSTITUTE(TRIM($E87&amp;""),"%",""),"–","-"),"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"&amp;_xlpm.highCat)),""),IFERROR(_xlfn.LET(_xlpm.z,IF(ISNUMBER($I87),$I87,IFERROR(_xlfn.NUMBERVALUE($I87,","," "),IFERROR(_xlfn.NUMBERVALUE($I87,"."," "),""))),IF(_xlpm.z="","",_xlfn.IFS(_xlpm.z&gt;=2,"très supérieur",_xlpm.z&gt;=1.33,"supérieur",_xlpm.z&gt;=0.67,"moyenne élevée",_xlpm.z&gt;=-0.7,"moyenne",_xlpm.z&gt;-1.4,"moyenne faible",_xlpm.z&gt;-2.1,"limite",TRUE,"extrêmement faible"))),""))))</x:f>
        <x:v>limite</x:v>
      </x:c>
      <x:c r="K87" s="230" t="str">
        <x:f t="shared" si="5"/>
        <x:v>5,5e</x:v>
      </x:c>
      <x:c r="L87" s="229" t="s">
        <x:v>195</x:v>
      </x:c>
    </x:row>
    <x:row r="88" ht="16" customHeight="1">
      <x:c r="B88" s="235"/>
      <x:c r="C88" s="234" t="s">
        <x:v>196</x:v>
      </x:c>
      <x:c r="D88" s="234" t="s">
        <x:v>197</x:v>
      </x:c>
      <x:c r="E88" s="233">
        <x:v>78</x:v>
      </x:c>
      <x:c r="F88" s="232" t="s">
        <x:v>26</x:v>
      </x:c>
      <x:c r="G88" s="217"/>
      <x:c r="H88" s="218"/>
      <x:c r="I88" s="223">
        <x:f t="shared" si="6"/>
        <x:v>-1.47</x:v>
      </x:c>
      <x:c r="J88" s="231" t="str" cm="1">
        <x:f t="array" ref="J88">IF(OR(TRIM($C88)="",$E88=""),"",IF($F88="Descriptif","Mesure descriptive",IF($F88="Percentile range",IFERROR(_xlfn.LET(_xlpm.rawTxt,SUBSTITUTE(SUBSTITUTE(SUBSTITUTE(SUBSTITUTE(SUBSTITUTE(TRIM($E88&amp;""),"%",""),"–","-"),"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"&amp;_xlpm.highCat)),""),IFERROR(_xlfn.LET(_xlpm.z,IF(ISNUMBER($I88),$I88,IFERROR(_xlfn.NUMBERVALUE($I88,","," "),IFERROR(_xlfn.NUMBERVALUE($I88,"."," "),""))),IF(_xlpm.z="","",_xlfn.IFS(_xlpm.z&gt;=2,"très supérieur",_xlpm.z&gt;=1.33,"supérieur",_xlpm.z&gt;=0.67,"moyenne élevée",_xlpm.z&gt;=-0.7,"moyenne",_xlpm.z&gt;-1.4,"moyenne faible",_xlpm.z&gt;-2.1,"limite",TRUE,"extrêmement faible"))),""))))</x:f>
        <x:v>limite</x:v>
      </x:c>
      <x:c r="K88" s="230" t="str">
        <x:f t="shared" si="5"/>
        <x:v>7,1e</x:v>
      </x:c>
      <x:c r="L88" s="229"/>
    </x:row>
    <x:row r="89" ht="16" customHeight="1">
      <x:c r="B89" s="252"/>
      <x:c r="C89" s="251" t="s">
        <x:v>198</x:v>
      </x:c>
      <x:c r="D89" s="251" t="s">
        <x:v>199</x:v>
      </x:c>
      <x:c r="E89" s="250">
        <x:v>104</x:v>
      </x:c>
      <x:c r="F89" s="249" t="s">
        <x:v>26</x:v>
      </x:c>
      <x:c r="G89" s="224"/>
      <x:c r="H89" s="225"/>
      <x:c r="I89" s="223">
        <x:f t="shared" si="6"/>
        <x:v>0.27</x:v>
      </x:c>
      <x:c r="J89" s="231" t="str" cm="1">
        <x:f t="array" ref="J89">IF(OR(TRIM($C89)="",$E89=""),"",IF($F89="Descriptif","Mesure descriptive",IF($F89="Percentile range",IFERROR(_xlfn.LET(_xlpm.rawTxt,SUBSTITUTE(SUBSTITUTE(SUBSTITUTE(SUBSTITUTE(SUBSTITUTE(TRIM($E89&amp;""),"%",""),"–","-"),"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"&amp;_xlpm.highCat)),""),IFERROR(_xlfn.LET(_xlpm.z,IF(ISNUMBER($I89),$I89,IFERROR(_xlfn.NUMBERVALUE($I89,","," "),IFERROR(_xlfn.NUMBERVALUE($I89,"."," "),""))),IF(_xlpm.z="","",_xlfn.IFS(_xlpm.z&gt;=2,"très supérieur",_xlpm.z&gt;=1.33,"supérieur",_xlpm.z&gt;=0.67,"moyenne élevée",_xlpm.z&gt;=-0.7,"moyenne",_xlpm.z&gt;-1.4,"moyenne faible",_xlpm.z&gt;-2.1,"limite",TRUE,"extrêmement faible"))),""))))</x:f>
        <x:v>moyenne</x:v>
      </x:c>
      <x:c r="K89" s="230" t="str">
        <x:f t="shared" si="5"/>
        <x:v>60,5e</x:v>
      </x:c>
      <x:c r="L89" s="248"/>
    </x:row>
    <x:row r="90" ht="16" customHeight="1">
      <x:c r="B90" s="247" t="s">
        <x:v>200</x:v>
      </x:c>
      <x:c r="C90" s="246"/>
      <x:c r="D90" s="246"/>
      <x:c r="E90" s="245"/>
      <x:c r="F90" s="244"/>
      <x:c r="G90" s="243"/>
      <x:c r="H90" s="242"/>
      <x:c r="I90" s="223" t="str">
        <x:f t="shared" si="6"/>
      </x:c>
      <x:c r="J90" s="231" t="str" cm="1">
        <x:f t="array" ref="J90">IF(OR(TRIM($C90)="",$E90=""),"",IF($F90="Descriptif","Mesure descriptive",IF($F90="Percentile range",IFERROR(_xlfn.LET(_xlpm.rawTxt,SUBSTITUTE(SUBSTITUTE(SUBSTITUTE(SUBSTITUTE(SUBSTITUTE(TRIM($E90&amp;""),"%",""),"–","-"),"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"&amp;_xlpm.highCat)),""),IFERROR(_xlfn.LET(_xlpm.z,IF(ISNUMBER($I90),$I90,IFERROR(_xlfn.NUMBERVALUE($I90,","," "),IFERROR(_xlfn.NUMBERVALUE($I90,"."," "),""))),IF(_xlpm.z="","",_xlfn.IFS(_xlpm.z&gt;=2,"très supérieur",_xlpm.z&gt;=1.33,"supérieur",_xlpm.z&gt;=0.67,"moyenne élevée",_xlpm.z&gt;=-0.7,"moyenne",_xlpm.z&gt;-1.4,"moyenne faible",_xlpm.z&gt;-2.1,"limite",TRUE,"extrêmement faible"))),""))))</x:f>
      </x:c>
      <x:c r="K90" s="230" t="str">
        <x:f t="shared" si="5"/>
      </x:c>
      <x:c r="L90" s="241"/>
    </x:row>
    <x:row r="91" ht="16" customHeight="1">
      <x:c r="B91" s="240"/>
      <x:c r="C91" s="239" t="s">
        <x:v>201</x:v>
      </x:c>
      <x:c r="D91" s="239" t="s">
        <x:v>202</x:v>
      </x:c>
      <x:c r="E91" s="238"/>
      <x:c r="F91" s="237"/>
      <x:c r="G91" s="221"/>
      <x:c r="H91" s="222"/>
      <x:c r="I91" s="223" t="str">
        <x:f t="shared" si="6"/>
      </x:c>
      <x:c r="J91" s="231" t="str" cm="1">
        <x:f t="array" ref="J91">IF(OR(TRIM($C91)="",$E91=""),"",IF($F91="Descriptif","Mesure descriptive",IF($F91="Percentile range",IFERROR(_xlfn.LET(_xlpm.rawTxt,SUBSTITUTE(SUBSTITUTE(SUBSTITUTE(SUBSTITUTE(SUBSTITUTE(TRIM($E91&amp;""),"%",""),"–","-"),"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"&amp;_xlpm.highCat)),""),IFERROR(_xlfn.LET(_xlpm.z,IF(ISNUMBER($I91),$I91,IFERROR(_xlfn.NUMBERVALUE($I91,","," "),IFERROR(_xlfn.NUMBERVALUE($I91,"."," "),""))),IF(_xlpm.z="","",_xlfn.IFS(_xlpm.z&gt;=2,"très supérieur",_xlpm.z&gt;=1.33,"supérieur",_xlpm.z&gt;=0.67,"moyenne élevée",_xlpm.z&gt;=-0.7,"moyenne",_xlpm.z&gt;-1.4,"moyenne faible",_xlpm.z&gt;-2.1,"limite",TRUE,"extrêmement faible"))),""))))</x:f>
      </x:c>
      <x:c r="K91" s="230" t="str">
        <x:f t="shared" si="5"/>
      </x:c>
      <x:c r="L91" s="236"/>
    </x:row>
    <x:row r="92" ht="16" customHeight="1">
      <x:c r="B92" s="235"/>
      <x:c r="C92" s="234" t="s">
        <x:v>203</x:v>
      </x:c>
      <x:c r="D92" s="234" t="s">
        <x:v>204</x:v>
      </x:c>
      <x:c r="E92" s="233">
        <x:v>9</x:v>
      </x:c>
      <x:c r="F92" s="232" t="s">
        <x:v>31</x:v>
      </x:c>
      <x:c r="G92" s="217"/>
      <x:c r="H92" s="218"/>
      <x:c r="I92" s="223">
        <x:f t="shared" si="6"/>
        <x:v>-0.33</x:v>
      </x:c>
      <x:c r="J92" s="231" t="str" cm="1">
        <x:f t="array" ref="J92">IF(OR(TRIM($C92)="",$E92=""),"",IF($F92="Descriptif","Mesure descriptive",IF($F92="Percentile range",IFERROR(_xlfn.LET(_xlpm.rawTxt,SUBSTITUTE(SUBSTITUTE(SUBSTITUTE(SUBSTITUTE(SUBSTITUTE(TRIM($E92&amp;""),"%",""),"–","-"),"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"&amp;_xlpm.highCat)),""),IFERROR(_xlfn.LET(_xlpm.z,IF(ISNUMBER($I92),$I92,IFERROR(_xlfn.NUMBERVALUE($I92,","," "),IFERROR(_xlfn.NUMBERVALUE($I92,"."," "),""))),IF(_xlpm.z="","",_xlfn.IFS(_xlpm.z&gt;=2,"très supérieur",_xlpm.z&gt;=1.33,"supérieur",_xlpm.z&gt;=0.67,"moyenne élevée",_xlpm.z&gt;=-0.7,"moyenne",_xlpm.z&gt;-1.4,"moyenne faible",_xlpm.z&gt;-2.1,"limite",TRUE,"extrêmement faible"))),""))))</x:f>
        <x:v>moyenne</x:v>
      </x:c>
      <x:c r="K92" s="230" t="str">
        <x:f t="shared" si="5"/>
        <x:v>36,9e</x:v>
      </x:c>
      <x:c r="L92" s="229"/>
    </x:row>
    <x:row r="93" ht="16" customHeight="1">
      <x:c r="B93" s="235"/>
      <x:c r="C93" s="234" t="s">
        <x:v>205</x:v>
      </x:c>
      <x:c r="D93" s="234" t="s">
        <x:v>206</x:v>
      </x:c>
      <x:c r="E93" s="233">
        <x:v>16</x:v>
      </x:c>
      <x:c r="F93" s="232" t="s">
        <x:v>31</x:v>
      </x:c>
      <x:c r="G93" s="217"/>
      <x:c r="H93" s="218"/>
      <x:c r="I93" s="223">
        <x:f t="shared" si="6"/>
        <x:v>2</x:v>
      </x:c>
      <x:c r="J93" s="231" t="str" cm="1">
        <x:f t="array" ref="J93">IF(OR(TRIM($C93)="",$E93=""),"",IF($F93="Descriptif","Mesure descriptive",IF($F93="Percentile range",IFERROR(_xlfn.LET(_xlpm.rawTxt,SUBSTITUTE(SUBSTITUTE(SUBSTITUTE(SUBSTITUTE(SUBSTITUTE(TRIM($E93&amp;""),"%",""),"–","-"),"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"&amp;_xlpm.highCat)),""),IFERROR(_xlfn.LET(_xlpm.z,IF(ISNUMBER($I93),$I93,IFERROR(_xlfn.NUMBERVALUE($I93,","," "),IFERROR(_xlfn.NUMBERVALUE($I93,"."," "),""))),IF(_xlpm.z="","",_xlfn.IFS(_xlpm.z&gt;=2,"très supérieur",_xlpm.z&gt;=1.33,"supérieur",_xlpm.z&gt;=0.67,"moyenne élevée",_xlpm.z&gt;=-0.7,"moyenne",_xlpm.z&gt;-1.4,"moyenne faible",_xlpm.z&gt;-2.1,"limite",TRUE,"extrêmement faible"))),""))))</x:f>
        <x:v>très supérieur</x:v>
      </x:c>
      <x:c r="K93" s="230" t="str">
        <x:f t="shared" si="5"/>
        <x:v>97,7e</x:v>
      </x:c>
      <x:c r="L93" s="229"/>
    </x:row>
    <x:row r="94" ht="16" customHeight="1">
      <x:c r="B94" s="235"/>
      <x:c r="C94" s="234" t="s">
        <x:v>207</x:v>
      </x:c>
      <x:c r="D94" s="234" t="s">
        <x:v>208</x:v>
      </x:c>
      <x:c r="E94" s="233">
        <x:v>11</x:v>
      </x:c>
      <x:c r="F94" s="232" t="s">
        <x:v>31</x:v>
      </x:c>
      <x:c r="G94" s="217"/>
      <x:c r="H94" s="218"/>
      <x:c r="I94" s="223">
        <x:f t="shared" si="6"/>
        <x:v>0.33</x:v>
      </x:c>
      <x:c r="J94" s="231" t="str" cm="1">
        <x:f t="array" ref="J94">IF(OR(TRIM($C94)="",$E94=""),"",IF($F94="Descriptif","Mesure descriptive",IF($F94="Percentile range",IFERROR(_xlfn.LET(_xlpm.rawTxt,SUBSTITUTE(SUBSTITUTE(SUBSTITUTE(SUBSTITUTE(SUBSTITUTE(TRIM($E94&amp;""),"%",""),"–","-"),"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"&amp;_xlpm.highCat)),""),IFERROR(_xlfn.LET(_xlpm.z,IF(ISNUMBER($I94),$I94,IFERROR(_xlfn.NUMBERVALUE($I94,","," "),IFERROR(_xlfn.NUMBERVALUE($I94,"."," "),""))),IF(_xlpm.z="","",_xlfn.IFS(_xlpm.z&gt;=2,"très supérieur",_xlpm.z&gt;=1.33,"supérieur",_xlpm.z&gt;=0.67,"moyenne élevée",_xlpm.z&gt;=-0.7,"moyenne",_xlpm.z&gt;-1.4,"moyenne faible",_xlpm.z&gt;-2.1,"limite",TRUE,"extrêmement faible"))),""))))</x:f>
        <x:v>moyenne</x:v>
      </x:c>
      <x:c r="K94" s="230" t="str">
        <x:f t="shared" si="5"/>
        <x:v>63,1e</x:v>
      </x:c>
      <x:c r="L94" s="229"/>
    </x:row>
    <x:row r="95" ht="16" customHeight="1">
      <x:c r="B95" s="235"/>
      <x:c r="C95" s="234" t="s">
        <x:v>209</x:v>
      </x:c>
      <x:c r="D95" s="234" t="s">
        <x:v>210</x:v>
      </x:c>
      <x:c r="E95" s="233">
        <x:v>3</x:v>
      </x:c>
      <x:c r="F95" s="232" t="s">
        <x:v>31</x:v>
      </x:c>
      <x:c r="G95" s="217"/>
      <x:c r="H95" s="218"/>
      <x:c r="I95" s="223">
        <x:f t="shared" si="6"/>
        <x:v>-2.33</x:v>
      </x:c>
      <x:c r="J95" s="231" t="str" cm="1">
        <x:f t="array" ref="J95">IF(OR(TRIM($C95)="",$E95=""),"",IF($F95="Descriptif","Mesure descriptive",IF($F95="Percentile range",IFERROR(_xlfn.LET(_xlpm.rawTxt,SUBSTITUTE(SUBSTITUTE(SUBSTITUTE(SUBSTITUTE(SUBSTITUTE(TRIM($E95&amp;""),"%",""),"–","-"),"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"&amp;_xlpm.highCat)),""),IFERROR(_xlfn.LET(_xlpm.z,IF(ISNUMBER($I95),$I95,IFERROR(_xlfn.NUMBERVALUE($I95,","," "),IFERROR(_xlfn.NUMBERVALUE($I95,"."," "),""))),IF(_xlpm.z="","",_xlfn.IFS(_xlpm.z&gt;=2,"très supérieur",_xlpm.z&gt;=1.33,"supérieur",_xlpm.z&gt;=0.67,"moyenne élevée",_xlpm.z&gt;=-0.7,"moyenne",_xlpm.z&gt;-1.4,"moyenne faible",_xlpm.z&gt;-2.1,"limite",TRUE,"extrêmement faible"))),""))))</x:f>
        <x:v>extrêmement faible</x:v>
      </x:c>
      <x:c r="K95" s="230" t="str">
        <x:f t="shared" si="5"/>
        <x:v>1er</x:v>
      </x:c>
      <x:c r="L95" s="229" t="s">
        <x:v>211</x:v>
      </x:c>
    </x:row>
    <x:row r="96" ht="16" customHeight="1">
      <x:c r="B96" s="252"/>
      <x:c r="C96" s="251" t="s">
        <x:v>212</x:v>
      </x:c>
      <x:c r="D96" s="251" t="s">
        <x:v>176</x:v>
      </x:c>
      <x:c r="E96" s="250">
        <x:v>5</x:v>
      </x:c>
      <x:c r="F96" s="249" t="s">
        <x:v>31</x:v>
      </x:c>
      <x:c r="G96" s="224"/>
      <x:c r="H96" s="225"/>
      <x:c r="I96" s="223">
        <x:f t="shared" si="6"/>
        <x:v>-1.67</x:v>
      </x:c>
      <x:c r="J96" s="231" t="str" cm="1">
        <x:f t="array" ref="J96">IF(OR(TRIM($C96)="",$E96=""),"",IF($F96="Descriptif","Mesure descriptive",IF($F96="Percentile range",IFERROR(_xlfn.LET(_xlpm.rawTxt,SUBSTITUTE(SUBSTITUTE(SUBSTITUTE(SUBSTITUTE(SUBSTITUTE(TRIM($E96&amp;""),"%",""),"–","-"),"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"&amp;_xlpm.highCat)),""),IFERROR(_xlfn.LET(_xlpm.z,IF(ISNUMBER($I96),$I96,IFERROR(_xlfn.NUMBERVALUE($I96,","," "),IFERROR(_xlfn.NUMBERVALUE($I96,"."," "),""))),IF(_xlpm.z="","",_xlfn.IFS(_xlpm.z&gt;=2,"très supérieur",_xlpm.z&gt;=1.33,"supérieur",_xlpm.z&gt;=0.67,"moyenne élevée",_xlpm.z&gt;=-0.7,"moyenne",_xlpm.z&gt;-1.4,"moyenne faible",_xlpm.z&gt;-2.1,"limite",TRUE,"extrêmement faible"))),""))))</x:f>
        <x:v>limite</x:v>
      </x:c>
      <x:c r="K96" s="230" t="str">
        <x:f t="shared" si="5"/>
        <x:v>4,8e</x:v>
      </x:c>
      <x:c r="L96" s="248" t="s">
        <x:v>213</x:v>
      </x:c>
    </x:row>
    <x:row r="97" ht="16" customHeight="1">
      <x:c r="B97" s="259"/>
      <x:c r="C97" s="251" t="s">
        <x:v>214</x:v>
      </x:c>
      <x:c r="D97" s="251" t="s">
        <x:v>215</x:v>
      </x:c>
      <x:c r="E97" s="250">
        <x:v>12</x:v>
      </x:c>
      <x:c r="F97" s="249" t="s">
        <x:v>31</x:v>
      </x:c>
      <x:c r="G97" s="224"/>
      <x:c r="H97" s="225"/>
      <x:c r="I97" s="223">
        <x:f t="shared" si="6"/>
        <x:v>0.67</x:v>
      </x:c>
      <x:c r="J97" s="231" t="str" cm="1">
        <x:f t="array" ref="J97">IF(OR(TRIM($C97)="",$E97=""),"",IF($F97="Descriptif","Mesure descriptive",IF($F97="Percentile range",IFERROR(_xlfn.LET(_xlpm.rawTxt,SUBSTITUTE(SUBSTITUTE(SUBSTITUTE(SUBSTITUTE(SUBSTITUTE(TRIM($E97&amp;""),"%",""),"–","-"),"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"&amp;_xlpm.highCat)),""),IFERROR(_xlfn.LET(_xlpm.z,IF(ISNUMBER($I97),$I97,IFERROR(_xlfn.NUMBERVALUE($I97,","," "),IFERROR(_xlfn.NUMBERVALUE($I97,"."," "),""))),IF(_xlpm.z="","",_xlfn.IFS(_xlpm.z&gt;=2,"très supérieur",_xlpm.z&gt;=1.33,"supérieur",_xlpm.z&gt;=0.67,"moyenne élevée",_xlpm.z&gt;=-0.7,"moyenne",_xlpm.z&gt;-1.4,"moyenne faible",_xlpm.z&gt;-2.1,"limite",TRUE,"extrêmement faible"))),""))))</x:f>
        <x:v>moyenne élevée</x:v>
      </x:c>
      <x:c r="K97" s="230" t="str">
        <x:f t="shared" si="5"/>
        <x:v>74,8e</x:v>
      </x:c>
      <x:c r="L97" s="248"/>
    </x:row>
    <x:row r="98" ht="16" customHeight="1">
      <x:c r="B98" s="259"/>
      <x:c r="C98" s="251" t="s">
        <x:v>216</x:v>
      </x:c>
      <x:c r="D98" s="251" t="s">
        <x:v>217</x:v>
      </x:c>
      <x:c r="E98" s="250">
        <x:v>10</x:v>
      </x:c>
      <x:c r="F98" s="249" t="s">
        <x:v>31</x:v>
      </x:c>
      <x:c r="G98" s="224"/>
      <x:c r="H98" s="225"/>
      <x:c r="I98" s="223">
        <x:f t="shared" si="6"/>
        <x:v>0</x:v>
      </x:c>
      <x:c r="J98" s="231" t="str" cm="1">
        <x:f t="array" ref="J98">IF(OR(TRIM($C98)="",$E98=""),"",IF($F98="Descriptif","Mesure descriptive",IF($F98="Percentile range",IFERROR(_xlfn.LET(_xlpm.rawTxt,SUBSTITUTE(SUBSTITUTE(SUBSTITUTE(SUBSTITUTE(SUBSTITUTE(TRIM($E98&amp;""),"%",""),"–","-"),"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"&amp;_xlpm.highCat)),""),IFERROR(_xlfn.LET(_xlpm.z,IF(ISNUMBER($I98),$I98,IFERROR(_xlfn.NUMBERVALUE($I98,","," "),IFERROR(_xlfn.NUMBERVALUE($I98,"."," "),""))),IF(_xlpm.z="","",_xlfn.IFS(_xlpm.z&gt;=2,"très supérieur",_xlpm.z&gt;=1.33,"supérieur",_xlpm.z&gt;=0.67,"moyenne élevée",_xlpm.z&gt;=-0.7,"moyenne",_xlpm.z&gt;-1.4,"moyenne faible",_xlpm.z&gt;-2.1,"limite",TRUE,"extrêmement faible"))),""))))</x:f>
        <x:v>moyenne</x:v>
      </x:c>
      <x:c r="K98" s="230" t="str">
        <x:f t="shared" si="5"/>
        <x:v>50,0e</x:v>
      </x:c>
      <x:c r="L98" s="248"/>
    </x:row>
    <x:row r="99" ht="16" customHeight="1">
      <x:c r="B99" s="259"/>
      <x:c r="C99" s="251" t="s">
        <x:v>218</x:v>
      </x:c>
      <x:c r="D99" s="251" t="s">
        <x:v>219</x:v>
      </x:c>
      <x:c r="E99" s="250">
        <x:v>14</x:v>
      </x:c>
      <x:c r="F99" s="249" t="s">
        <x:v>31</x:v>
      </x:c>
      <x:c r="G99" s="224"/>
      <x:c r="H99" s="225"/>
      <x:c r="I99" s="223">
        <x:f t="shared" si="6"/>
        <x:v>1.33</x:v>
      </x:c>
      <x:c r="J99" s="231" t="str" cm="1">
        <x:f t="array" ref="J99">IF(OR(TRIM($C99)="",$E99=""),"",IF($F99="Descriptif","Mesure descriptive",IF($F99="Percentile range",IFERROR(_xlfn.LET(_xlpm.rawTxt,SUBSTITUTE(SUBSTITUTE(SUBSTITUTE(SUBSTITUTE(SUBSTITUTE(TRIM($E99&amp;""),"%",""),"–","-"),"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"&amp;_xlpm.highCat)),""),IFERROR(_xlfn.LET(_xlpm.z,IF(ISNUMBER($I99),$I99,IFERROR(_xlfn.NUMBERVALUE($I99,","," "),IFERROR(_xlfn.NUMBERVALUE($I99,"."," "),""))),IF(_xlpm.z="","",_xlfn.IFS(_xlpm.z&gt;=2,"très supérieur",_xlpm.z&gt;=1.33,"supérieur",_xlpm.z&gt;=0.67,"moyenne élevée",_xlpm.z&gt;=-0.7,"moyenne",_xlpm.z&gt;-1.4,"moyenne faible",_xlpm.z&gt;-2.1,"limite",TRUE,"extrêmement faible"))),""))))</x:f>
        <x:v>supérieur</x:v>
      </x:c>
      <x:c r="K99" s="230" t="str">
        <x:f t="shared" si="5"/>
        <x:v>90,9e</x:v>
      </x:c>
      <x:c r="L99" s="248"/>
    </x:row>
    <x:row r="100" ht="16" customHeight="1">
      <x:c r="B100" s="259"/>
      <x:c r="C100" s="251" t="s">
        <x:v>220</x:v>
      </x:c>
      <x:c r="D100" s="251" t="s">
        <x:v>219</x:v>
      </x:c>
      <x:c r="E100" s="250">
        <x:v>12</x:v>
      </x:c>
      <x:c r="F100" s="249" t="s">
        <x:v>31</x:v>
      </x:c>
      <x:c r="G100" s="224"/>
      <x:c r="H100" s="225"/>
      <x:c r="I100" s="223">
        <x:f t="shared" si="6"/>
        <x:v>0.67</x:v>
      </x:c>
      <x:c r="J100" s="231" t="str" cm="1">
        <x:f t="array" ref="J100">IF(OR(TRIM($C100)="",$E100=""),"",IF($F100="Descriptif","Mesure descriptive",IF($F100="Percentile range",IFERROR(_xlfn.LET(_xlpm.rawTxt,SUBSTITUTE(SUBSTITUTE(SUBSTITUTE(SUBSTITUTE(SUBSTITUTE(TRIM($E100&amp;""),"%",""),"–","-"),"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"&amp;_xlpm.highCat)),""),IFERROR(_xlfn.LET(_xlpm.z,IF(ISNUMBER($I100),$I100,IFERROR(_xlfn.NUMBERVALUE($I100,","," "),IFERROR(_xlfn.NUMBERVALUE($I100,"."," "),""))),IF(_xlpm.z="","",_xlfn.IFS(_xlpm.z&gt;=2,"très supérieur",_xlpm.z&gt;=1.33,"supérieur",_xlpm.z&gt;=0.67,"moyenne élevée",_xlpm.z&gt;=-0.7,"moyenne",_xlpm.z&gt;-1.4,"moyenne faible",_xlpm.z&gt;-2.1,"limite",TRUE,"extrêmement faible"))),""))))</x:f>
        <x:v>moyenne élevée</x:v>
      </x:c>
      <x:c r="K100" s="230" t="str">
        <x:f t="shared" si="5"/>
        <x:v>74,8e</x:v>
      </x:c>
      <x:c r="L100" s="248"/>
    </x:row>
    <x:row r="101" ht="16" customHeight="1">
      <x:c r="B101" s="259"/>
      <x:c r="C101" s="251" t="s">
        <x:v>221</x:v>
      </x:c>
      <x:c r="D101" s="251" t="s">
        <x:v>222</x:v>
      </x:c>
      <x:c r="E101" s="250">
        <x:v>12</x:v>
      </x:c>
      <x:c r="F101" s="249" t="s">
        <x:v>31</x:v>
      </x:c>
      <x:c r="G101" s="224"/>
      <x:c r="H101" s="225"/>
      <x:c r="I101" s="223">
        <x:f t="shared" si="6"/>
        <x:v>0.67</x:v>
      </x:c>
      <x:c r="J101" s="231" t="str" cm="1">
        <x:f t="array" ref="J101">IF(OR(TRIM($C101)="",$E101=""),"",IF($F101="Descriptif","Mesure descriptive",IF($F101="Percentile range",IFERROR(_xlfn.LET(_xlpm.rawTxt,SUBSTITUTE(SUBSTITUTE(SUBSTITUTE(SUBSTITUTE(SUBSTITUTE(TRIM($E101&amp;""),"%",""),"–","-"),"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"&amp;_xlpm.highCat)),""),IFERROR(_xlfn.LET(_xlpm.z,IF(ISNUMBER($I101),$I101,IFERROR(_xlfn.NUMBERVALUE($I101,","," "),IFERROR(_xlfn.NUMBERVALUE($I101,"."," "),""))),IF(_xlpm.z="","",_xlfn.IFS(_xlpm.z&gt;=2,"très supérieur",_xlpm.z&gt;=1.33,"supérieur",_xlpm.z&gt;=0.67,"moyenne élevée",_xlpm.z&gt;=-0.7,"moyenne",_xlpm.z&gt;-1.4,"moyenne faible",_xlpm.z&gt;-2.1,"limite",TRUE,"extrêmement faible"))),""))))</x:f>
        <x:v>moyenne élevée</x:v>
      </x:c>
      <x:c r="K101" s="230" t="str">
        <x:f t="shared" si="5"/>
        <x:v>74,8e</x:v>
      </x:c>
      <x:c r="L101" s="248"/>
    </x:row>
    <x:row r="102" ht="16" customHeight="1">
      <x:c r="B102" s="259"/>
      <x:c r="C102" s="251" t="s">
        <x:v>223</x:v>
      </x:c>
      <x:c r="D102" s="251" t="s">
        <x:v>224</x:v>
      </x:c>
      <x:c r="E102" s="250">
        <x:v>10</x:v>
      </x:c>
      <x:c r="F102" s="249" t="s">
        <x:v>31</x:v>
      </x:c>
      <x:c r="G102" s="224"/>
      <x:c r="H102" s="225"/>
      <x:c r="I102" s="223">
        <x:f t="shared" si="6"/>
        <x:v>0</x:v>
      </x:c>
      <x:c r="J102" s="231" t="str" cm="1">
        <x:f t="array" ref="J102">IF(OR(TRIM($C102)="",$E102=""),"",IF($F102="Descriptif","Mesure descriptive",IF($F102="Percentile range",IFERROR(_xlfn.LET(_xlpm.rawTxt,SUBSTITUTE(SUBSTITUTE(SUBSTITUTE(SUBSTITUTE(SUBSTITUTE(TRIM($E102&amp;""),"%",""),"–","-"),"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"&amp;_xlpm.highCat)),""),IFERROR(_xlfn.LET(_xlpm.z,IF(ISNUMBER($I102),$I102,IFERROR(_xlfn.NUMBERVALUE($I102,","," "),IFERROR(_xlfn.NUMBERVALUE($I102,"."," "),""))),IF(_xlpm.z="","",_xlfn.IFS(_xlpm.z&gt;=2,"très supérieur",_xlpm.z&gt;=1.33,"supérieur",_xlpm.z&gt;=0.67,"moyenne élevée",_xlpm.z&gt;=-0.7,"moyenne",_xlpm.z&gt;-1.4,"moyenne faible",_xlpm.z&gt;-2.1,"limite",TRUE,"extrêmement faible"))),""))))</x:f>
        <x:v>moyenne</x:v>
      </x:c>
      <x:c r="K102" s="230" t="str">
        <x:f t="shared" si="5"/>
        <x:v>50,0e</x:v>
      </x:c>
      <x:c r="L102" s="248" t="s">
        <x:v>225</x:v>
      </x:c>
    </x:row>
    <x:row r="103" ht="16" customHeight="1">
      <x:c r="B103" s="259"/>
      <x:c r="C103" s="251" t="s">
        <x:v>226</x:v>
      </x:c>
      <x:c r="D103" s="251" t="s">
        <x:v>227</x:v>
      </x:c>
      <x:c r="E103" s="250">
        <x:v>11</x:v>
      </x:c>
      <x:c r="F103" s="249" t="s">
        <x:v>31</x:v>
      </x:c>
      <x:c r="G103" s="224"/>
      <x:c r="H103" s="225"/>
      <x:c r="I103" s="223">
        <x:f t="shared" si="6"/>
        <x:v>0.33</x:v>
      </x:c>
      <x:c r="J103" s="231" t="str" cm="1">
        <x:f t="array" ref="J103">IF(OR(TRIM($C103)="",$E103=""),"",IF($F103="Descriptif","Mesure descriptive",IF($F103="Percentile range",IFERROR(_xlfn.LET(_xlpm.rawTxt,SUBSTITUTE(SUBSTITUTE(SUBSTITUTE(SUBSTITUTE(SUBSTITUTE(TRIM($E103&amp;""),"%",""),"–","-"),"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"&amp;_xlpm.highCat)),""),IFERROR(_xlfn.LET(_xlpm.z,IF(ISNUMBER($I103),$I103,IFERROR(_xlfn.NUMBERVALUE($I103,","," "),IFERROR(_xlfn.NUMBERVALUE($I103,"."," "),""))),IF(_xlpm.z="","",_xlfn.IFS(_xlpm.z&gt;=2,"très supérieur",_xlpm.z&gt;=1.33,"supérieur",_xlpm.z&gt;=0.67,"moyenne élevée",_xlpm.z&gt;=-0.7,"moyenne",_xlpm.z&gt;-1.4,"moyenne faible",_xlpm.z&gt;-2.1,"limite",TRUE,"extrêmement faible"))),""))))</x:f>
        <x:v>moyenne</x:v>
      </x:c>
      <x:c r="K103" s="230" t="str">
        <x:f t="shared" si="5"/>
        <x:v>63,1e</x:v>
      </x:c>
      <x:c r="L103" s="248" t="s">
        <x:v>228</x:v>
      </x:c>
    </x:row>
    <x:row r="104" ht="16" customHeight="1">
      <x:c r="B104" s="259"/>
      <x:c r="C104" s="251" t="s">
        <x:v>229</x:v>
      </x:c>
      <x:c r="D104" s="251" t="s">
        <x:v>230</x:v>
      </x:c>
      <x:c r="E104" s="250">
        <x:v>109</x:v>
      </x:c>
      <x:c r="F104" s="249" t="s">
        <x:v>22</x:v>
      </x:c>
      <x:c r="G104" s="224"/>
      <x:c r="H104" s="225"/>
      <x:c r="I104" s="223" t="str">
        <x:f t="shared" si="6"/>
      </x:c>
      <x:c r="J104" s="231" t="str" cm="1">
        <x:f t="array" ref="J104">IF(OR(TRIM($C104)="",$E104=""),"",IF($F104="Descriptif","Mesure descriptive",IF($F104="Percentile range",IFERROR(_xlfn.LET(_xlpm.rawTxt,SUBSTITUTE(SUBSTITUTE(SUBSTITUTE(SUBSTITUTE(SUBSTITUTE(TRIM($E104&amp;""),"%",""),"–","-"),"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"&amp;_xlpm.highCat)),""),IFERROR(_xlfn.LET(_xlpm.z,IF(ISNUMBER($I104),$I104,IFERROR(_xlfn.NUMBERVALUE($I104,","," "),IFERROR(_xlfn.NUMBERVALUE($I104,"."," "),""))),IF(_xlpm.z="","",_xlfn.IFS(_xlpm.z&gt;=2,"très supérieur",_xlpm.z&gt;=1.33,"supérieur",_xlpm.z&gt;=0.67,"moyenne élevée",_xlpm.z&gt;=-0.7,"moyenne",_xlpm.z&gt;-1.4,"moyenne faible",_xlpm.z&gt;-2.1,"limite",TRUE,"extrêmement faible"))),""))))</x:f>
        <x:v>Mesure descriptive</x:v>
      </x:c>
      <x:c r="K104" s="230" t="str">
        <x:f t="shared" ref="K104:K121" si="7">IF(OR(TRIM($C104)="",$E104="",$F104="Descriptif"),"",IF($F104="Percentile range",IFERROR(_xlfn.LET(_xlpm.rawTxt,SUBSTITUTE(SUBSTITUTE(SUBSTITUTE(SUBSTITUTE(SUBSTITUTE(TRIM($E104&amp;""),"%",""),"–","-")," à ","-")," to ","-")," ",""),_xlpm.lowRaw,_xlfn.NUMBERVALUE(_xlfn.TEXTBEFORE(_xlpm.rawTxt,"-"),","," "),_xlpm.highRaw,_xlfn.NUMBERVALUE(_xlfn.TEXTAFTER(_xlpm.rawTxt,"-"),","," "),_xlpm.lowPct,MIN(_xlpm.lowRaw,_xlpm.highRaw),_xlpm.highPct,MAX(_xlpm.lowRaw,_xlpm.highRaw),_xlpm.lowTxt,IF(_xlpm.lowPct&lt;0.1,"&lt;0,1e",IF(_xlpm.lowPct=1,"1er",SUBSTITUTE(TEXT(_xlpm.lowPct,"0.0"),".",",")&amp;"e")),_xlpm.highTxt,IF(_xlpm.highPct&lt;0.1,"&lt;0,1e",IF(_xlpm.highPct=1,"1er",SUBSTITUTE(TEXT(_xlpm.highPct,"0.0"),".",",")&amp;"e")),_xlpm.lowTxt&amp;" à "&amp;_xlpm.highTxt),""),IFERROR(_xlfn.LET(_xlpm.m,$F104,_xlpm.mu,$G104,_xlpm.sd,$H104,_xlpm.x,IF(ISNUMBER($E104),$E104,IFERROR(_xlfn.NUMBERVALUE($E104,","," "),IFERROR(_xlfn.NUMBERVALUE($E104,".","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_xlfn.LET(_xlpm.rawP,_xlfn.NORM.S.DIST(_xlpm.z,TRUE)*100,_xlpm.p,MIN(99.9,ROUND(_xlpm.rawP,1)),IF(_xlpm.rawP&lt;0.1,"&lt;0,1e",IF(_xlpm.p=1,"1er",SUBSTITUTE(TEXT(_xlpm.p,"0.0"),".",",")&amp;"e"))))),"")))</x:f>
      </x:c>
      <x:c r="L104" s="248"/>
    </x:row>
    <x:row r="105" ht="16" customHeight="1">
      <x:c r="B105" s="259"/>
      <x:c r="C105" s="251" t="s">
        <x:v>231</x:v>
      </x:c>
      <x:c r="D105" s="251" t="s">
        <x:v>166</x:v>
      </x:c>
      <x:c r="E105" s="250">
        <x:v>10</x:v>
      </x:c>
      <x:c r="F105" s="249" t="s">
        <x:v>31</x:v>
      </x:c>
      <x:c r="G105" s="224"/>
      <x:c r="H105" s="225"/>
      <x:c r="I105" s="223">
        <x:f>IF(OR(TRIM(C105)="",E105=""),"",IFERROR(_xlfn.LET(_xlpm.x,IF(ISNUMBER(E105),E105,IFERROR(_xlfn.NUMBERVALUE(E105,","," "),IFERROR(_xlfn.NUMBERVALUE(E105,"."," "),""))),_xlpm.z,IF(OR(_xlpm.x="",_xlpm.x&lt;1,_xlpm.x&gt;19),"",MIN(0,(_xlpm.x-10)/3)),IF(_xlpm.z="","",ROUND(_xlpm.z,2))),""))</x:f>
        <x:v>0</x:v>
      </x:c>
      <x:c r="J105" s="231" t="str" cm="1">
        <x:f t="array" ref="J105">IF(OR(TRIM($C105)="",$E105=""),"",IF($F105="Descriptif","Mesure descriptive",IF($F105="Percentile range",IFERROR(_xlfn.LET(_xlpm.rawTxt,SUBSTITUTE(SUBSTITUTE(SUBSTITUTE(SUBSTITUTE(SUBSTITUTE(TRIM($E105&amp;""),"%",""),"–","-"),"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"&amp;_xlpm.highCat)),""),IFERROR(_xlfn.LET(_xlpm.z,IF(ISNUMBER($I105),$I105,IFERROR(_xlfn.NUMBERVALUE($I105,","," "),IFERROR(_xlfn.NUMBERVALUE($I105,"."," "),""))),IF(_xlpm.z="","",_xlfn.IFS(_xlpm.z&gt;=2,"très supérieur",_xlpm.z&gt;=1.33,"supérieur",_xlpm.z&gt;=0.67,"moyenne élevée",_xlpm.z&gt;=-0.7,"moyenne",_xlpm.z&gt;-1.4,"moyenne faible",_xlpm.z&gt;-2.1,"limite",TRUE,"extrêmement faible"))),""))))</x:f>
        <x:v>moyenne</x:v>
      </x:c>
      <x:c r="K105" s="230" t="str">
        <x:f t="shared" si="7"/>
        <x:v>50,0e</x:v>
      </x:c>
      <x:c r="L105" s="248" t="s">
        <x:v>232</x:v>
      </x:c>
    </x:row>
    <x:row r="106" ht="16" customHeight="1">
      <x:c r="B106" s="259"/>
      <x:c r="C106" s="251" t="s">
        <x:v>233</x:v>
      </x:c>
      <x:c r="D106" s="251" t="s">
        <x:v>166</x:v>
      </x:c>
      <x:c r="E106" s="250">
        <x:v>12</x:v>
      </x:c>
      <x:c r="F106" s="249" t="s">
        <x:v>31</x:v>
      </x:c>
      <x:c r="G106" s="224"/>
      <x:c r="H106" s="225"/>
      <x:c r="I106" s="223">
        <x:f>IF(OR(TRIM(C106)="",E106=""),"",IFERROR(_xlfn.LET(_xlpm.x,IF(ISNUMBER(E106),E106,IFERROR(_xlfn.NUMBERVALUE(E106,","," "),IFERROR(_xlfn.NUMBERVALUE(E106,"."," "),""))),_xlpm.z,IF(OR(_xlpm.x="",_xlpm.x&lt;1,_xlpm.x&gt;19),"",MIN(0,(_xlpm.x-10)/3)),IF(_xlpm.z="","",ROUND(_xlpm.z,2))),""))</x:f>
        <x:v>0</x:v>
      </x:c>
      <x:c r="J106" s="231" t="str" cm="1">
        <x:f t="array" ref="J106">IF(OR(TRIM($C106)="",$E106=""),"",IF($F106="Descriptif","Mesure descriptive",IF($F106="Percentile range",IFERROR(_xlfn.LET(_xlpm.rawTxt,SUBSTITUTE(SUBSTITUTE(SUBSTITUTE(SUBSTITUTE(SUBSTITUTE(TRIM($E106&amp;""),"%",""),"–","-"),"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"&amp;_xlpm.highCat)),""),IFERROR(_xlfn.LET(_xlpm.z,IF(ISNUMBER($I106),$I106,IFERROR(_xlfn.NUMBERVALUE($I106,","," "),IFERROR(_xlfn.NUMBERVALUE($I106,"."," "),""))),IF(_xlpm.z="","",_xlfn.IFS(_xlpm.z&gt;=2,"très supérieur",_xlpm.z&gt;=1.33,"supérieur",_xlpm.z&gt;=0.67,"moyenne élevée",_xlpm.z&gt;=-0.7,"moyenne",_xlpm.z&gt;-1.4,"moyenne faible",_xlpm.z&gt;-2.1,"limite",TRUE,"extrêmement faible"))),""))))</x:f>
        <x:v>moyenne</x:v>
      </x:c>
      <x:c r="K106" s="230" t="str">
        <x:f t="shared" si="7"/>
        <x:v>74,8e</x:v>
      </x:c>
      <x:c r="L106" s="248" t="s">
        <x:v>234</x:v>
      </x:c>
    </x:row>
    <x:row r="107" ht="16" customHeight="1">
      <x:c r="B107" s="247" t="s">
        <x:v>235</x:v>
      </x:c>
      <x:c r="C107" s="246"/>
      <x:c r="D107" s="246"/>
      <x:c r="E107" s="245"/>
      <x:c r="F107" s="244"/>
      <x:c r="G107" s="243"/>
      <x:c r="H107" s="242"/>
      <x:c r="I107" s="223" t="str">
        <x:f t="shared" ref="I107:I113" si="8">IF(OR(TRIM($C107)="",$E107=""),"",IF($F107="Percentile range",IFERROR(_xlfn.LET(_xlpm.rawTxt,SUBSTITUTE(SUBSTITUTE(SUBSTITUTE(SUBSTITUTE(SUBSTITUTE(TRIM($E107&amp;""),"%",""),"–","-"),"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107,_xlpm.mu,$G107,_xlpm.sd,$H107,_xlpm.x,IF(ISNUMBER($E107),$E107,IFERROR(_xlfn.NUMBERVALUE($E107,","," "),IFERROR(_xlfn.NUMBERVALUE($E107,".","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c>
      <x:c r="J107" s="231" t="str" cm="1">
        <x:f t="array" ref="J107">IF(OR(TRIM($C107)="",$E107=""),"",IF($F107="Descriptif","Mesure descriptive",IF($F107="Percentile range",IFERROR(_xlfn.LET(_xlpm.rawTxt,SUBSTITUTE(SUBSTITUTE(SUBSTITUTE(SUBSTITUTE(SUBSTITUTE(TRIM($E107&amp;""),"%",""),"–","-"),"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"&amp;_xlpm.highCat)),""),IFERROR(_xlfn.LET(_xlpm.z,IF(ISNUMBER($I107),$I107,IFERROR(_xlfn.NUMBERVALUE($I107,","," "),IFERROR(_xlfn.NUMBERVALUE($I107,"."," "),""))),IF(_xlpm.z="","",_xlfn.IFS(_xlpm.z&gt;=2,"très supérieur",_xlpm.z&gt;=1.33,"supérieur",_xlpm.z&gt;=0.67,"moyenne élevée",_xlpm.z&gt;=-0.7,"moyenne",_xlpm.z&gt;-1.4,"moyenne faible",_xlpm.z&gt;-2.1,"limite",TRUE,"extrêmement faible"))),""))))</x:f>
      </x:c>
      <x:c r="K107" s="230" t="str">
        <x:f t="shared" si="7"/>
      </x:c>
      <x:c r="L107" s="241"/>
    </x:row>
    <x:row r="108" ht="16" customHeight="1">
      <x:c r="B108" s="240"/>
      <x:c r="C108" s="239" t="s">
        <x:v>236</x:v>
      </x:c>
      <x:c r="D108" s="239" t="s">
        <x:v>237</x:v>
      </x:c>
      <x:c r="E108" s="238">
        <x:v>8</x:v>
      </x:c>
      <x:c r="F108" s="237" t="s">
        <x:v>31</x:v>
      </x:c>
      <x:c r="G108" s="221"/>
      <x:c r="H108" s="222"/>
      <x:c r="I108" s="223">
        <x:f t="shared" si="8"/>
        <x:v>-0.67</x:v>
      </x:c>
      <x:c r="J108" s="231" t="str" cm="1">
        <x:f t="array" ref="J108">IF(OR(TRIM($C108)="",$E108=""),"",IF($F108="Descriptif","Mesure descriptive",IF($F108="Percentile range",IFERROR(_xlfn.LET(_xlpm.rawTxt,SUBSTITUTE(SUBSTITUTE(SUBSTITUTE(SUBSTITUTE(SUBSTITUTE(TRIM($E108&amp;""),"%",""),"–","-"),"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"&amp;_xlpm.highCat)),""),IFERROR(_xlfn.LET(_xlpm.z,IF(ISNUMBER($I108),$I108,IFERROR(_xlfn.NUMBERVALUE($I108,","," "),IFERROR(_xlfn.NUMBERVALUE($I108,"."," "),""))),IF(_xlpm.z="","",_xlfn.IFS(_xlpm.z&gt;=2,"très supérieur",_xlpm.z&gt;=1.33,"supérieur",_xlpm.z&gt;=0.67,"moyenne élevée",_xlpm.z&gt;=-0.7,"moyenne",_xlpm.z&gt;-1.4,"moyenne faible",_xlpm.z&gt;-2.1,"limite",TRUE,"extrêmement faible"))),""))))</x:f>
        <x:v>moyenne</x:v>
      </x:c>
      <x:c r="K108" s="230" t="str">
        <x:f t="shared" si="7"/>
        <x:v>25,2e</x:v>
      </x:c>
      <x:c r="L108" s="236"/>
    </x:row>
    <x:row r="109" ht="16" customHeight="1">
      <x:c r="B109" s="235"/>
      <x:c r="C109" s="234" t="s">
        <x:v>238</x:v>
      </x:c>
      <x:c r="D109" s="234" t="s">
        <x:v>239</x:v>
      </x:c>
      <x:c r="E109" s="233">
        <x:v>7</x:v>
      </x:c>
      <x:c r="F109" s="232" t="s">
        <x:v>31</x:v>
      </x:c>
      <x:c r="G109" s="217"/>
      <x:c r="H109" s="218"/>
      <x:c r="I109" s="223">
        <x:f t="shared" si="8"/>
        <x:v>-1</x:v>
      </x:c>
      <x:c r="J109" s="231" t="str" cm="1">
        <x:f t="array" ref="J109">IF(OR(TRIM($C109)="",$E109=""),"",IF($F109="Descriptif","Mesure descriptive",IF($F109="Percentile range",IFERROR(_xlfn.LET(_xlpm.rawTxt,SUBSTITUTE(SUBSTITUTE(SUBSTITUTE(SUBSTITUTE(SUBSTITUTE(TRIM($E109&amp;""),"%",""),"–","-"),"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"&amp;_xlpm.highCat)),""),IFERROR(_xlfn.LET(_xlpm.z,IF(ISNUMBER($I109),$I109,IFERROR(_xlfn.NUMBERVALUE($I109,","," "),IFERROR(_xlfn.NUMBERVALUE($I109,"."," "),""))),IF(_xlpm.z="","",_xlfn.IFS(_xlpm.z&gt;=2,"très supérieur",_xlpm.z&gt;=1.33,"supérieur",_xlpm.z&gt;=0.67,"moyenne élevée",_xlpm.z&gt;=-0.7,"moyenne",_xlpm.z&gt;-1.4,"moyenne faible",_xlpm.z&gt;-2.1,"limite",TRUE,"extrêmement faible"))),""))))</x:f>
        <x:v>moyenne faible</x:v>
      </x:c>
      <x:c r="K109" s="230" t="str">
        <x:f t="shared" si="7"/>
        <x:v>15,9e</x:v>
      </x:c>
      <x:c r="L109" s="229"/>
    </x:row>
    <x:row r="110" ht="16" customHeight="1">
      <x:c r="B110" s="235"/>
      <x:c r="C110" s="234" t="s">
        <x:v>240</x:v>
      </x:c>
      <x:c r="D110" s="234" t="s">
        <x:v>241</x:v>
      </x:c>
      <x:c r="E110" s="233">
        <x:v>8</x:v>
      </x:c>
      <x:c r="F110" s="232" t="s">
        <x:v>31</x:v>
      </x:c>
      <x:c r="G110" s="217"/>
      <x:c r="H110" s="218"/>
      <x:c r="I110" s="223">
        <x:f t="shared" si="8"/>
        <x:v>-0.67</x:v>
      </x:c>
      <x:c r="J110" s="231" t="str" cm="1">
        <x:f t="array" ref="J110">IF(OR(TRIM($C110)="",$E110=""),"",IF($F110="Descriptif","Mesure descriptive",IF($F110="Percentile range",IFERROR(_xlfn.LET(_xlpm.rawTxt,SUBSTITUTE(SUBSTITUTE(SUBSTITUTE(SUBSTITUTE(SUBSTITUTE(TRIM($E110&amp;""),"%",""),"–","-"),"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"&amp;_xlpm.highCat)),""),IFERROR(_xlfn.LET(_xlpm.z,IF(ISNUMBER($I110),$I110,IFERROR(_xlfn.NUMBERVALUE($I110,","," "),IFERROR(_xlfn.NUMBERVALUE($I110,"."," "),""))),IF(_xlpm.z="","",_xlfn.IFS(_xlpm.z&gt;=2,"très supérieur",_xlpm.z&gt;=1.33,"supérieur",_xlpm.z&gt;=0.67,"moyenne élevée",_xlpm.z&gt;=-0.7,"moyenne",_xlpm.z&gt;-1.4,"moyenne faible",_xlpm.z&gt;-2.1,"limite",TRUE,"extrêmement faible"))),""))))</x:f>
        <x:v>moyenne</x:v>
      </x:c>
      <x:c r="K110" s="230" t="str">
        <x:f t="shared" si="7"/>
        <x:v>25,2e</x:v>
      </x:c>
      <x:c r="L110" s="229"/>
    </x:row>
    <x:row r="111" ht="16" customHeight="1">
      <x:c r="B111" s="252"/>
      <x:c r="C111" s="251" t="s">
        <x:v>242</x:v>
      </x:c>
      <x:c r="D111" s="251" t="s">
        <x:v>243</x:v>
      </x:c>
      <x:c r="E111" s="250">
        <x:v>8</x:v>
      </x:c>
      <x:c r="F111" s="249" t="s">
        <x:v>31</x:v>
      </x:c>
      <x:c r="G111" s="224"/>
      <x:c r="H111" s="225"/>
      <x:c r="I111" s="223">
        <x:f t="shared" si="8"/>
        <x:v>-0.67</x:v>
      </x:c>
      <x:c r="J111" s="231" t="str" cm="1">
        <x:f t="array" ref="J111">IF(OR(TRIM($C111)="",$E111=""),"",IF($F111="Descriptif","Mesure descriptive",IF($F111="Percentile range",IFERROR(_xlfn.LET(_xlpm.rawTxt,SUBSTITUTE(SUBSTITUTE(SUBSTITUTE(SUBSTITUTE(SUBSTITUTE(TRIM($E111&amp;""),"%",""),"–","-"),"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"&amp;_xlpm.highCat)),""),IFERROR(_xlfn.LET(_xlpm.z,IF(ISNUMBER($I111),$I111,IFERROR(_xlfn.NUMBERVALUE($I111,","," "),IFERROR(_xlfn.NUMBERVALUE($I111,"."," "),""))),IF(_xlpm.z="","",_xlfn.IFS(_xlpm.z&gt;=2,"très supérieur",_xlpm.z&gt;=1.33,"supérieur",_xlpm.z&gt;=0.67,"moyenne élevée",_xlpm.z&gt;=-0.7,"moyenne",_xlpm.z&gt;-1.4,"moyenne faible",_xlpm.z&gt;-2.1,"limite",TRUE,"extrêmement faible"))),""))))</x:f>
        <x:v>moyenne</x:v>
      </x:c>
      <x:c r="K111" s="230" t="str">
        <x:f t="shared" si="7"/>
        <x:v>25,2e</x:v>
      </x:c>
      <x:c r="L111" s="248"/>
    </x:row>
    <x:row r="112" ht="16" customHeight="1">
      <x:c r="B112" s="259"/>
      <x:c r="C112" s="251" t="s">
        <x:v>244</x:v>
      </x:c>
      <x:c r="D112" s="251" t="s">
        <x:v>245</x:v>
      </x:c>
      <x:c r="E112" s="250">
        <x:v>8</x:v>
      </x:c>
      <x:c r="F112" s="249" t="s">
        <x:v>31</x:v>
      </x:c>
      <x:c r="G112" s="224"/>
      <x:c r="H112" s="225"/>
      <x:c r="I112" s="223">
        <x:f t="shared" si="8"/>
        <x:v>-0.67</x:v>
      </x:c>
      <x:c r="J112" s="231" t="str" cm="1">
        <x:f t="array" ref="J112">IF(OR(TRIM($C112)="",$E112=""),"",IF($F112="Descriptif","Mesure descriptive",IF($F112="Percentile range",IFERROR(_xlfn.LET(_xlpm.rawTxt,SUBSTITUTE(SUBSTITUTE(SUBSTITUTE(SUBSTITUTE(SUBSTITUTE(TRIM($E112&amp;""),"%",""),"–","-"),"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"&amp;_xlpm.highCat)),""),IFERROR(_xlfn.LET(_xlpm.z,IF(ISNUMBER($I112),$I112,IFERROR(_xlfn.NUMBERVALUE($I112,","," "),IFERROR(_xlfn.NUMBERVALUE($I112,"."," "),""))),IF(_xlpm.z="","",_xlfn.IFS(_xlpm.z&gt;=2,"très supérieur",_xlpm.z&gt;=1.33,"supérieur",_xlpm.z&gt;=0.67,"moyenne élevée",_xlpm.z&gt;=-0.7,"moyenne",_xlpm.z&gt;-1.4,"moyenne faible",_xlpm.z&gt;-2.1,"limite",TRUE,"extrêmement faible"))),""))))</x:f>
        <x:v>moyenne</x:v>
      </x:c>
      <x:c r="K112" s="230" t="str">
        <x:f t="shared" si="7"/>
        <x:v>25,2e</x:v>
      </x:c>
      <x:c r="L112" s="248"/>
    </x:row>
    <x:row r="113" ht="16" customHeight="1">
      <x:c r="B113" s="259"/>
      <x:c r="C113" s="251" t="s">
        <x:v>246</x:v>
      </x:c>
      <x:c r="D113" s="251" t="s">
        <x:v>247</x:v>
      </x:c>
      <x:c r="E113" s="250">
        <x:v>10</x:v>
      </x:c>
      <x:c r="F113" s="249" t="s">
        <x:v>31</x:v>
      </x:c>
      <x:c r="G113" s="224"/>
      <x:c r="H113" s="225"/>
      <x:c r="I113" s="223">
        <x:f t="shared" si="8"/>
        <x:v>0</x:v>
      </x:c>
      <x:c r="J113" s="231" t="str" cm="1">
        <x:f t="array" ref="J113">IF(OR(TRIM($C113)="",$E113=""),"",IF($F113="Descriptif","Mesure descriptive",IF($F113="Percentile range",IFERROR(_xlfn.LET(_xlpm.rawTxt,SUBSTITUTE(SUBSTITUTE(SUBSTITUTE(SUBSTITUTE(SUBSTITUTE(TRIM($E113&amp;""),"%",""),"–","-"),"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"&amp;_xlpm.highCat)),""),IFERROR(_xlfn.LET(_xlpm.z,IF(ISNUMBER($I113),$I113,IFERROR(_xlfn.NUMBERVALUE($I113,","," "),IFERROR(_xlfn.NUMBERVALUE($I113,"."," "),""))),IF(_xlpm.z="","",_xlfn.IFS(_xlpm.z&gt;=2,"très supérieur",_xlpm.z&gt;=1.33,"supérieur",_xlpm.z&gt;=0.67,"moyenne élevée",_xlpm.z&gt;=-0.7,"moyenne",_xlpm.z&gt;-1.4,"moyenne faible",_xlpm.z&gt;-2.1,"limite",TRUE,"extrêmement faible"))),""))))</x:f>
        <x:v>moyenne</x:v>
      </x:c>
      <x:c r="K113" s="230" t="str">
        <x:f t="shared" si="7"/>
        <x:v>50,0e</x:v>
      </x:c>
      <x:c r="L113" s="248"/>
    </x:row>
    <x:row r="114" ht="16" customHeight="1">
      <x:c r="B114" s="259"/>
      <x:c r="C114" s="251" t="s">
        <x:v>248</x:v>
      </x:c>
      <x:c r="D114" s="251" t="s">
        <x:v>224</x:v>
      </x:c>
      <x:c r="E114" s="250">
        <x:v>13</x:v>
      </x:c>
      <x:c r="F114" s="249" t="s">
        <x:v>31</x:v>
      </x:c>
      <x:c r="G114" s="224"/>
      <x:c r="H114" s="225"/>
      <x:c r="I114" s="223">
        <x:f>IF(OR(TRIM(C114)="",E114=""),"",IFERROR(_xlfn.LET(_xlpm.x,IF(ISNUMBER(E114),E114,IFERROR(_xlfn.NUMBERVALUE(E114,","," "),IFERROR(_xlfn.NUMBERVALUE(E114,"."," "),""))),_xlpm.z,IF(OR(_xlpm.x="",_xlpm.x&lt;1,_xlpm.x&gt;19),"",MIN(0,(_xlpm.x-10)/3)),IF(_xlpm.z="","",ROUND(_xlpm.z,2))),""))</x:f>
        <x:v>0</x:v>
      </x:c>
      <x:c r="J114" s="231" t="str" cm="1">
        <x:f t="array" ref="J114">IF(OR(TRIM($C114)="",$E114=""),"",IF($F114="Descriptif","Mesure descriptive",IF($F114="Percentile range",IFERROR(_xlfn.LET(_xlpm.rawTxt,SUBSTITUTE(SUBSTITUTE(SUBSTITUTE(SUBSTITUTE(SUBSTITUTE(TRIM($E114&amp;""),"%",""),"–","-"),"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"&amp;_xlpm.highCat)),""),IFERROR(_xlfn.LET(_xlpm.z,IF(ISNUMBER($I114),$I114,IFERROR(_xlfn.NUMBERVALUE($I114,","," "),IFERROR(_xlfn.NUMBERVALUE($I114,"."," "),""))),IF(_xlpm.z="","",_xlfn.IFS(_xlpm.z&gt;=2,"très supérieur",_xlpm.z&gt;=1.33,"supérieur",_xlpm.z&gt;=0.67,"moyenne élevée",_xlpm.z&gt;=-0.7,"moyenne",_xlpm.z&gt;-1.4,"moyenne faible",_xlpm.z&gt;-2.1,"limite",TRUE,"extrêmement faible"))),""))))</x:f>
        <x:v>moyenne</x:v>
      </x:c>
      <x:c r="K114" s="230" t="str">
        <x:f t="shared" si="7"/>
        <x:v>84,1e</x:v>
      </x:c>
      <x:c r="L114" s="248" t="s">
        <x:v>249</x:v>
      </x:c>
    </x:row>
    <x:row r="115" ht="16" customHeight="1">
      <x:c r="B115" s="259"/>
      <x:c r="C115" s="251" t="s">
        <x:v>250</x:v>
      </x:c>
      <x:c r="D115" s="251" t="s">
        <x:v>227</x:v>
      </x:c>
      <x:c r="E115" s="250">
        <x:v>12</x:v>
      </x:c>
      <x:c r="F115" s="249" t="s">
        <x:v>31</x:v>
      </x:c>
      <x:c r="G115" s="224"/>
      <x:c r="H115" s="225"/>
      <x:c r="I115" s="223">
        <x:f>IF(OR(TRIM(C115)="",E115=""),"",IFERROR(_xlfn.LET(_xlpm.x,IF(ISNUMBER(E115),E115,IFERROR(_xlfn.NUMBERVALUE(E115,","," "),IFERROR(_xlfn.NUMBERVALUE(E115,"."," "),""))),_xlpm.z,IF(OR(_xlpm.x="",_xlpm.x&lt;1,_xlpm.x&gt;19),"",MIN(0,(_xlpm.x-10)/3)),IF(_xlpm.z="","",ROUND(_xlpm.z,2))),""))</x:f>
        <x:v>0</x:v>
      </x:c>
      <x:c r="J115" s="231" t="str" cm="1">
        <x:f t="array" ref="J115">IF(OR(TRIM($C115)="",$E115=""),"",IF($F115="Descriptif","Mesure descriptive",IF($F115="Percentile range",IFERROR(_xlfn.LET(_xlpm.rawTxt,SUBSTITUTE(SUBSTITUTE(SUBSTITUTE(SUBSTITUTE(SUBSTITUTE(TRIM($E115&amp;""),"%",""),"–","-"),"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"&amp;_xlpm.highCat)),""),IFERROR(_xlfn.LET(_xlpm.z,IF(ISNUMBER($I115),$I115,IFERROR(_xlfn.NUMBERVALUE($I115,","," "),IFERROR(_xlfn.NUMBERVALUE($I115,"."," "),""))),IF(_xlpm.z="","",_xlfn.IFS(_xlpm.z&gt;=2,"très supérieur",_xlpm.z&gt;=1.33,"supérieur",_xlpm.z&gt;=0.67,"moyenne élevée",_xlpm.z&gt;=-0.7,"moyenne",_xlpm.z&gt;-1.4,"moyenne faible",_xlpm.z&gt;-2.1,"limite",TRUE,"extrêmement faible"))),""))))</x:f>
        <x:v>moyenne</x:v>
      </x:c>
      <x:c r="K115" s="230" t="str">
        <x:f t="shared" si="7"/>
        <x:v>74,8e</x:v>
      </x:c>
      <x:c r="L115" s="248" t="s">
        <x:v>251</x:v>
      </x:c>
    </x:row>
    <x:row r="116" ht="16" customHeight="1">
      <x:c r="B116" s="259"/>
      <x:c r="C116" s="251" t="s">
        <x:v>252</x:v>
      </x:c>
      <x:c r="D116" s="251" t="s">
        <x:v>253</x:v>
      </x:c>
      <x:c r="E116" s="250">
        <x:v>7</x:v>
      </x:c>
      <x:c r="F116" s="249" t="s">
        <x:v>31</x:v>
      </x:c>
      <x:c r="G116" s="224"/>
      <x:c r="H116" s="225"/>
      <x:c r="I116" s="223">
        <x:f t="shared" ref="I116:I121" si="9">IF(OR(TRIM($C116)="",$E116=""),"",IF($F116="Percentile range",IFERROR(_xlfn.LET(_xlpm.rawTxt,SUBSTITUTE(SUBSTITUTE(SUBSTITUTE(SUBSTITUTE(SUBSTITUTE(TRIM($E116&amp;""),"%",""),"–","-")," à ","-")," to ","-")," ",""),_xlpm.lowRaw,_xlfn.NUMBERVALUE(_xlfn.TEXTBEFORE(_xlpm.rawTxt,"-"),","," "),_xlpm.highRaw,_xlfn.NUMBERVALUE(_xlfn.TEXTAFTER(_xlpm.rawTxt,"-"),","," "),_xlpm.lowPct,MIN(_xlpm.lowRaw,_xlpm.highRaw),_xlpm.highPct,MAX(_xlpm.lowRaw,_xlpm.highRaw),IF(OR(_xlpm.lowPct&lt;=0,_xlpm.highPct&gt;=100),"",ROUND((_xlfn.NORM.S.INV(_xlpm.lowPct/100)+_xlfn.NORM.S.INV(_xlpm.highPct/100))/2,2))),""),IFERROR(_xlfn.LET(_xlpm.m,$F116,_xlpm.mu,$G116,_xlpm.sd,$H116,_xlpm.x,IF(ISNUMBER($E116),$E116,IFERROR(_xlfn.NUMBERVALUE($E116,","," "),IFERROR(_xlfn.NUMBERVALUE($E116,"."," "),""))),_xlpm.z,IF(_xlpm.m="Descriptif","",IF(_xlpm.m="Brut direct",IF(OR(_xlpm.mu="",_xlpm.sd="",_xlpm.x=""),"",(_xlpm.x-_xlpm.mu)/_xlpm.sd),IF(_xlpm.m="Brut inverse",IF(OR(_xlpm.mu="",_xlpm.sd="",_xlpm.x=""),"",(_xlpm.mu-_xlpm.x)/_xlpm.sd),IF(_xlpm.m="T-score",IF(OR(_xlpm.x="",_xlpm.x&lt;20,_xlpm.x&gt;100),"",(_xlpm.x-50)/10),IF(_xlpm.m="Score standard",IF(OR(_xlpm.x="",_xlpm.x&lt;1,_xlpm.x&gt;19),"",(_xlpm.x-10)/3),IF(_xlpm.m="QI/Indice",IF(OR(_xlpm.x="",_xlpm.x&lt;40,_xlpm.x&gt;160),"",(_xlpm.x-100)/15),IF(_xlpm.m="Z direct",IF(_xlpm.x="","",_xlpm.x),IF(_xlpm.m="Percentile",IF(OR(_xlpm.x="",_xlpm.x&lt;=0,_xlpm.x&gt;=100),"",_xlfn.NORM.S.INV(_xlpm.x/100)),"")))))))),IF(_xlpm.z="","",ROUND(_xlpm.z,2))),"")))</x:f>
        <x:v>-1</x:v>
      </x:c>
      <x:c r="J116" s="231" t="str" cm="1">
        <x:f t="array" ref="J116">IF(OR(TRIM($C116)="",$E116=""),"",IF($F116="Descriptif","Mesure descriptive",IF($F116="Percentile range",IFERROR(_xlfn.LET(_xlpm.rawTxt,SUBSTITUTE(SUBSTITUTE(SUBSTITUTE(SUBSTITUTE(SUBSTITUTE(TRIM($E116&amp;""),"%",""),"–","-"),"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"&amp;_xlpm.highCat)),""),IFERROR(_xlfn.LET(_xlpm.z,IF(ISNUMBER($I116),$I116,IFERROR(_xlfn.NUMBERVALUE($I116,","," "),IFERROR(_xlfn.NUMBERVALUE($I116,"."," "),""))),IF(_xlpm.z="","",_xlfn.IFS(_xlpm.z&gt;=2,"très supérieur",_xlpm.z&gt;=1.33,"supérieur",_xlpm.z&gt;=0.67,"moyenne élevée",_xlpm.z&gt;=-0.7,"moyenne",_xlpm.z&gt;-1.4,"moyenne faible",_xlpm.z&gt;-2.1,"limite",TRUE,"extrêmement faible"))),""))))</x:f>
        <x:v>moyenne faible</x:v>
      </x:c>
      <x:c r="K116" s="230" t="str">
        <x:f t="shared" si="7"/>
        <x:v>15,9e</x:v>
      </x:c>
      <x:c r="L116" s="248"/>
    </x:row>
    <x:row r="117" ht="16" customHeight="1">
      <x:c r="B117" s="259"/>
      <x:c r="C117" s="251" t="s">
        <x:v>254</x:v>
      </x:c>
      <x:c r="D117" s="251" t="s">
        <x:v>166</x:v>
      </x:c>
      <x:c r="E117" s="250">
        <x:v>10</x:v>
      </x:c>
      <x:c r="F117" s="249" t="s">
        <x:v>31</x:v>
      </x:c>
      <x:c r="G117" s="224"/>
      <x:c r="H117" s="225"/>
      <x:c r="I117" s="223">
        <x:f t="shared" si="9"/>
        <x:v>0</x:v>
      </x:c>
      <x:c r="J117" s="231" t="str" cm="1">
        <x:f t="array" ref="J117">IF(OR(TRIM($C117)="",$E117=""),"",IF($F117="Descriptif","Mesure descriptive",IF($F117="Percentile range",IFERROR(_xlfn.LET(_xlpm.rawTxt,SUBSTITUTE(SUBSTITUTE(SUBSTITUTE(SUBSTITUTE(SUBSTITUTE(TRIM($E117&amp;""),"%",""),"–","-"),"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"&amp;_xlpm.highCat)),""),IFERROR(_xlfn.LET(_xlpm.z,IF(ISNUMBER($I117),$I117,IFERROR(_xlfn.NUMBERVALUE($I117,","," "),IFERROR(_xlfn.NUMBERVALUE($I117,"."," "),""))),IF(_xlpm.z="","",_xlfn.IFS(_xlpm.z&gt;=2,"très supérieur",_xlpm.z&gt;=1.33,"supérieur",_xlpm.z&gt;=0.67,"moyenne élevée",_xlpm.z&gt;=-0.7,"moyenne",_xlpm.z&gt;-1.4,"moyenne faible",_xlpm.z&gt;-2.1,"limite",TRUE,"extrêmement faible"))),""))))</x:f>
        <x:v>moyenne</x:v>
      </x:c>
      <x:c r="K117" s="230" t="str">
        <x:f t="shared" si="7"/>
        <x:v>50,0e</x:v>
      </x:c>
      <x:c r="L117" s="248"/>
    </x:row>
    <x:row r="118" ht="16" customHeight="1">
      <x:c r="B118" s="247" t="s">
        <x:v>255</x:v>
      </x:c>
      <x:c r="C118" s="246"/>
      <x:c r="D118" s="246"/>
      <x:c r="E118" s="245"/>
      <x:c r="F118" s="244"/>
      <x:c r="G118" s="243"/>
      <x:c r="H118" s="242"/>
      <x:c r="I118" s="223" t="str">
        <x:f t="shared" si="9"/>
      </x:c>
      <x:c r="J118" s="231" t="str" cm="1">
        <x:f t="array" ref="J118">IF(OR(TRIM($C118)="",$E118=""),"",IF($F118="Descriptif","Mesure descriptive",IF($F118="Percentile range",IFERROR(_xlfn.LET(_xlpm.rawTxt,SUBSTITUTE(SUBSTITUTE(SUBSTITUTE(SUBSTITUTE(SUBSTITUTE(TRIM($E118&amp;""),"%",""),"–","-"),"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"&amp;_xlpm.highCat)),""),IFERROR(_xlfn.LET(_xlpm.z,IF(ISNUMBER($I118),$I118,IFERROR(_xlfn.NUMBERVALUE($I118,","," "),IFERROR(_xlfn.NUMBERVALUE($I118,"."," "),""))),IF(_xlpm.z="","",_xlfn.IFS(_xlpm.z&gt;=2,"très supérieur",_xlpm.z&gt;=1.33,"supérieur",_xlpm.z&gt;=0.67,"moyenne élevée",_xlpm.z&gt;=-0.7,"moyenne",_xlpm.z&gt;-1.4,"moyenne faible",_xlpm.z&gt;-2.1,"limite",TRUE,"extrêmement faible"))),""))))</x:f>
      </x:c>
      <x:c r="K118" s="230" t="str">
        <x:f t="shared" si="7"/>
      </x:c>
      <x:c r="L118" s="241"/>
    </x:row>
    <x:row r="119" ht="16" customHeight="1">
      <x:c r="B119" s="240"/>
      <x:c r="C119" s="239" t="s">
        <x:v>256</x:v>
      </x:c>
      <x:c r="D119" s="239" t="s">
        <x:v>257</x:v>
      </x:c>
      <x:c r="E119" s="238"/>
      <x:c r="F119" s="237"/>
      <x:c r="G119" s="221"/>
      <x:c r="H119" s="222"/>
      <x:c r="I119" s="223" t="str">
        <x:f t="shared" si="9"/>
      </x:c>
      <x:c r="J119" s="231" t="str" cm="1">
        <x:f t="array" ref="J119">IF(OR(TRIM($C119)="",$E119=""),"",IF($F119="Descriptif","Mesure descriptive",IF($F119="Percentile range",IFERROR(_xlfn.LET(_xlpm.rawTxt,SUBSTITUTE(SUBSTITUTE(SUBSTITUTE(SUBSTITUTE(SUBSTITUTE(TRIM($E119&amp;""),"%",""),"–","-"),"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"&amp;_xlpm.highCat)),""),IFERROR(_xlfn.LET(_xlpm.z,IF(ISNUMBER($I119),$I119,IFERROR(_xlfn.NUMBERVALUE($I119,","," "),IFERROR(_xlfn.NUMBERVALUE($I119,"."," "),""))),IF(_xlpm.z="","",_xlfn.IFS(_xlpm.z&gt;=2,"très supérieur",_xlpm.z&gt;=1.33,"supérieur",_xlpm.z&gt;=0.67,"moyenne élevée",_xlpm.z&gt;=-0.7,"moyenne",_xlpm.z&gt;-1.4,"moyenne faible",_xlpm.z&gt;-2.1,"limite",TRUE,"extrêmement faible"))),""))))</x:f>
      </x:c>
      <x:c r="K119" s="230" t="str">
        <x:f t="shared" si="7"/>
      </x:c>
      <x:c r="L119" s="236"/>
    </x:row>
    <x:row r="120" ht="16" customHeight="1">
      <x:c r="B120" s="235"/>
      <x:c r="C120" s="234" t="s">
        <x:v>258</x:v>
      </x:c>
      <x:c r="D120" s="234" t="s">
        <x:v>259</x:v>
      </x:c>
      <x:c r="E120" s="233">
        <x:v>87</x:v>
      </x:c>
      <x:c r="F120" s="232" t="s">
        <x:v>73</x:v>
      </x:c>
      <x:c r="G120" s="217">
        <x:v>36.17</x:v>
      </x:c>
      <x:c r="H120" s="218">
        <x:v>10.96</x:v>
      </x:c>
      <x:c r="I120" s="223">
        <x:f t="shared" si="9"/>
        <x:v>1.1299999999999999</x:v>
      </x:c>
      <x:c r="J120" s="231" t="str" cm="1">
        <x:f t="array" ref="J120">IF(OR(TRIM($C120)="",$E120=""),"",IF($F120="Descriptif","Mesure descriptive",IF($F120="Percentile range",IFERROR(_xlfn.LET(_xlpm.rawTxt,SUBSTITUTE(SUBSTITUTE(SUBSTITUTE(SUBSTITUTE(SUBSTITUTE(TRIM($E120&amp;""),"%",""),"–","-"),"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"&amp;_xlpm.highCat)),""),IFERROR(_xlfn.LET(_xlpm.z,IF(ISNUMBER($I120),$I120,IFERROR(_xlfn.NUMBERVALUE($I120,","," "),IFERROR(_xlfn.NUMBERVALUE($I120,"."," "),""))),IF(_xlpm.z="","",_xlfn.IFS(_xlpm.z&gt;=2,"très supérieur",_xlpm.z&gt;=1.33,"supérieur",_xlpm.z&gt;=0.67,"moyenne élevée",_xlpm.z&gt;=-0.7,"moyenne",_xlpm.z&gt;-1.4,"moyenne faible",_xlpm.z&gt;-2.1,"limite",TRUE,"extrêmement faible"))),""))))</x:f>
        <x:v>moyenne élevée</x:v>
      </x:c>
      <x:c r="K120" s="230" t="str">
        <x:f t="shared" si="7"/>
        <x:v>87,0e</x:v>
      </x:c>
      <x:c r="L120" s="229" t="s">
        <x:v>260</x:v>
      </x:c>
    </x:row>
    <x:row r="121" ht="16" customHeight="1">
      <x:c r="B121" s="235"/>
      <x:c r="C121" s="234" t="s">
        <x:v>261</x:v>
      </x:c>
      <x:c r="D121" s="234" t="s">
        <x:v>262</x:v>
      </x:c>
      <x:c r="E121" s="233">
        <x:v>82</x:v>
      </x:c>
      <x:c r="F121" s="232" t="s">
        <x:v>73</x:v>
      </x:c>
      <x:c r="G121" s="217">
        <x:v>36.15</x:v>
      </x:c>
      <x:c r="H121" s="218">
        <x:v>9.5299999999999994</x:v>
      </x:c>
      <x:c r="I121" s="223">
        <x:f t="shared" si="9"/>
        <x:v>0.92</x:v>
      </x:c>
      <x:c r="J121" s="231" t="str" cm="1">
        <x:f t="array" ref="J121">IF(OR(TRIM($C121)="",$E121=""),"",IF($F121="Descriptif","Mesure descriptive",IF($F121="Percentile range",IFERROR(_xlfn.LET(_xlpm.rawTxt,SUBSTITUTE(SUBSTITUTE(SUBSTITUTE(SUBSTITUTE(SUBSTITUTE(TRIM($E121&amp;""),"%",""),"–","-")," à ","-")," to ","-")," ",""),_xlpm.lowRaw,_xlfn.NUMBERVALUE(_xlfn.TEXTBEFORE(_xlpm.rawTxt,"-"),","," "),_xlpm.highRaw,_xlfn.NUMBERVALUE(_xlfn.TEXTAFTER(_xlpm.rawTxt,"-"),","," "),_xlpm.lowPct,MIN(_xlpm.lowRaw,_xlpm.highRaw),_xlpm.highPct,MAX(_xlpm.lowRaw,_xlpm.highRaw),_xlpm.lowZ,_xlfn.NORM.S.INV(_xlpm.lowPct/100),_xlpm.highZ,_xlfn.NORM.S.INV(_xlpm.highPct/100),_xlpm.lowCat,_xlfn.IFS(_xlpm.lowZ&gt;=2,"très supérieur",_xlpm.lowZ&gt;=1.33,"supérieur",_xlpm.lowZ&gt;=0.67,"moyenne élevée",_xlpm.lowZ&gt;=-0.7,"moyenne",_xlpm.lowZ&gt;-1.4,"moyenne faible",_xlpm.lowZ&gt;-2.1,"limite",TRUE,"extrêmement faible"),_xlpm.highCat,_xlfn.IFS(_xlpm.highZ&gt;=2,"très supérieur",_xlpm.highZ&gt;=1.33,"supérieur",_xlpm.highZ&gt;=0.67,"moyenne élevée",_xlpm.highZ&gt;=-0.7,"moyenne",_xlpm.highZ&gt;-1.4,"moyenne faible",_xlpm.highZ&gt;-2.1,"limite",TRUE,"extrêmement faible"),IF(_xlpm.lowCat=_xlpm.highCat,_xlpm.lowCat,_xlpm.lowCat&amp;" à "&amp;_xlpm.highCat)),""),IFERROR(_xlfn.LET(_xlpm.z,IF(ISNUMBER($I121),$I121,IFERROR(_xlfn.NUMBERVALUE($I121,","," "),IFERROR(_xlfn.NUMBERVALUE($I121,"."," "),""))),IF(_xlpm.z="","",_xlfn.IFS(_xlpm.z&gt;=2,"très supérieur",_xlpm.z&gt;=1.33,"supérieur",_xlpm.z&gt;=0.67,"moyenne élevée",_xlpm.z&gt;=-0.7,"moyenne",_xlpm.z&gt;-1.4,"moyenne faible",_xlpm.z&gt;-2.1,"limite",TRUE,"extrêmement faible"))),""))))</x:f>
        <x:v>moyenne élevée</x:v>
      </x:c>
      <x:c r="K121" s="230" t="str">
        <x:f t="shared" si="7"/>
        <x:v>82,0e</x:v>
      </x:c>
      <x:c r="L121" s="229" t="s">
        <x:v>263</x:v>
      </x:c>
    </x:row>
    <x:row r="132">
      <x:c r="B132" s="348"/>
      <x:c r="C132" s="348"/>
    </x:row>
    <x:row r="133">
      <x:c r="B133" s="349"/>
      <x:c r="C133" s="349"/>
    </x:row>
    <x:row r="134">
      <x:c r="B134" s="348"/>
      <x:c r="C134" s="349"/>
    </x:row>
    <x:row r="135">
      <x:c r="B135" s="349"/>
      <x:c r="C135" s="349"/>
    </x:row>
    <x:row r="136">
      <x:c r="B136" s="349"/>
      <x:c r="C136" s="348"/>
    </x:row>
    <x:row r="137">
      <x:c r="B137" s="349"/>
      <x:c r="C137" s="348"/>
    </x:row>
    <x:row r="138">
      <x:c r="B138" s="348"/>
      <x:c r="C138" s="349"/>
    </x:row>
    <x:row r="139">
      <x:c r="B139" s="349"/>
      <x:c r="C139" s="348"/>
    </x:row>
    <x:row r="140">
      <x:c r="B140" s="348"/>
      <x:c r="C140" s="348"/>
    </x:row>
    <x:row r="141">
      <x:c r="B141" s="349"/>
      <x:c r="C141" s="349"/>
    </x:row>
    <x:row r="144">
      <x:c r="B144" s="348" t="s">
        <x:v>264</x:v>
      </x:c>
      <x:c r="C144" s="348" t="s">
        <x:v>265</x:v>
      </x:c>
    </x:row>
    <x:row r="145">
      <x:c r="B145" s="349" t="s">
        <x:v>266</x:v>
      </x:c>
      <x:c r="C145" s="349" t="s">
        <x:v>267</x:v>
      </x:c>
    </x:row>
    <x:row r="146">
      <x:c r="B146" s="348" t="s">
        <x:v>268</x:v>
      </x:c>
      <x:c r="C146" s="349" t="s">
        <x:v>269</x:v>
      </x:c>
    </x:row>
    <x:row r="147">
      <x:c r="B147" s="349" t="s">
        <x:v>270</x:v>
      </x:c>
      <x:c r="C147" s="349" t="s">
        <x:v>271</x:v>
      </x:c>
    </x:row>
    <x:row r="148">
      <x:c r="B148" s="349" t="s">
        <x:v>272</x:v>
      </x:c>
      <x:c r="C148" s="348" t="s">
        <x:v>183</x:v>
      </x:c>
    </x:row>
    <x:row r="149" ht="24">
      <x:c r="B149" s="349" t="s">
        <x:v>273</x:v>
      </x:c>
      <x:c r="C149" s="348"/>
    </x:row>
    <x:row r="150">
      <x:c r="B150" s="348" t="s">
        <x:v>274</x:v>
      </x:c>
      <x:c r="C150" s="349"/>
    </x:row>
    <x:row r="151">
      <x:c r="B151" s="349" t="s">
        <x:v>105</x:v>
      </x:c>
      <x:c r="C151" s="348"/>
    </x:row>
    <x:row r="152">
      <x:c r="B152" s="348"/>
      <x:c r="C152" s="348"/>
    </x:row>
    <x:row r="153">
      <x:c r="B153" s="349"/>
      <x:c r="C153" s="349"/>
    </x:row>
  </x:sheetData>
  <x:mergeCells>
    <x:mergeCell ref="K5:K6"/>
    <x:mergeCell ref="B2:L2"/>
    <x:mergeCell ref="E3:L3"/>
    <x:mergeCell ref="I4:J4"/>
    <x:mergeCell ref="L5:L6"/>
    <x:mergeCell ref="B5:B6"/>
    <x:mergeCell ref="C5:C6"/>
    <x:mergeCell ref="E5:E6"/>
    <x:mergeCell ref="I5:I6"/>
    <x:mergeCell ref="J5:J6"/>
    <x:mergeCell ref="F5:F6"/>
    <x:mergeCell ref="D5:D6"/>
  </x:mergeCells>
  <x:conditionalFormatting sqref="J6:K121">
    <x:cfRule type="expression" dxfId="8" priority="1">
      <x:formula>OR($J6="Normes à compléter",$J6="Vérifier la saisie du score",$J6="Libellé absent de Normes Z",$J6="Méthode à renseigner",$J6="Seuils à vérifier",LEFT($J6,6)="Saisir")</x:formula>
    </x:cfRule>
    <x:cfRule type="expression" dxfId="7" priority="2">
      <x:formula>$J6="Mesure descriptive — voir remarque"</x:formula>
    </x:cfRule>
    <x:cfRule type="expression" dxfId="6" priority="3">
      <x:formula>$J6="Extrêmement faible"</x:formula>
    </x:cfRule>
    <x:cfRule type="expression" dxfId="5" priority="4">
      <x:formula>$J6="Limite"</x:formula>
    </x:cfRule>
    <x:cfRule type="expression" dxfId="4" priority="5">
      <x:formula>$J6="Moyenne faible"</x:formula>
    </x:cfRule>
    <x:cfRule type="expression" dxfId="3" priority="6">
      <x:formula>$J6="Moyenne"</x:formula>
    </x:cfRule>
    <x:cfRule type="expression" dxfId="2" priority="7">
      <x:formula>$J6="Moyenne élevée"</x:formula>
    </x:cfRule>
    <x:cfRule type="expression" dxfId="1" priority="8">
      <x:formula>$J6="Supérieur"</x:formula>
    </x:cfRule>
    <x:cfRule type="expression" dxfId="0" priority="9">
      <x:formula>$J6="Très supérieur"</x:formula>
    </x:cfRule>
  </x:conditionalFormatting>
  <x:dataValidations count="4">
    <x:dataValidation type="custom" allowBlank="1" showInputMessage="1" showErrorMessage="1" errorTitle="ET invalide" error="Saisir un nombre ou laisser vide." promptTitle="ET BRUT" prompt="À compléter seulement si la méthode est Brut direct ou Brut inverse." sqref="H8:H121">
      <x:formula1>OR(H8="",ISNUMBER(H8))</x:formula1>
    </x:dataValidation>
    <x:dataValidation type="custom" allowBlank="1" showInputMessage="1" showErrorMessage="1" errorTitle="Score invalide" error="La colonne Score saisi accepte uniquement une valeur numérique." promptTitle="Score saisi" prompt="Entrer uniquement la valeur numérique observée ou normée." sqref="E8:E121">
      <x:formula1>OR(E8="",ISNUMBER(E8))</x:formula1>
    </x:dataValidation>
    <x:dataValidation type="custom" allowBlank="1" showInputMessage="1" showErrorMessage="1" errorTitle="Moyenne invalide" error="Saisir un nombre ou laisser vide." promptTitle="Moyenne BRUT" prompt="À compléter seulement si la méthode est Brut direct ou Brut inverse." sqref="G8:G121">
      <x:formula1>OR(G8="",ISNUMBER(G8))</x:formula1>
    </x:dataValidation>
    <x:dataValidation type="list" allowBlank="1" showInputMessage="1" showErrorMessage="1" sqref="F8:F121">
      <x:formula1>"Descriptif,Brut direct,Brut inverse,Score standard,T-score,QI/Indice,Z direct,Percentile,Percentile range"</x:formula1>
    </x:dataValidation>
  </x:dataValidations>
  <x:pageMargins left="0.7" right="0.7" top="0.75" bottom="0.75" header="0.3" footer="0.3"/>
  <x:legacyDrawing xmlns:r="http://schemas.openxmlformats.org/officeDocument/2006/relationships" r:id="R49fb88e8c4cf4486"/>
</x:worksheet>
</file>

<file path=xl/worksheets/sheet2.xml><?xml version="1.0" encoding="utf-8"?>
<x:worksheet xmlns:x="http://schemas.openxmlformats.org/spreadsheetml/2006/main">
  <x:sheetPr>
    <x:tabColor rgb="FFD9EAF7"/>
  </x:sheetPr>
  <x:sheetViews>
    <x:sheetView showGridLines="0" workbookViewId="0"/>
  </x:sheetViews>
  <x:sheetFormatPr baseColWidth="10" defaultColWidth="11" defaultRowHeight="16"/>
  <x:cols>
    <x:col min="1" max="1" width="20.83203125" customWidth="1"/>
    <x:col min="2" max="2" width="36.6640625" customWidth="1"/>
    <x:col min="3" max="3" width="10" customWidth="1"/>
    <x:col min="4" max="4" width="13.33203125" customWidth="1"/>
    <x:col min="5" max="5" width="14.33203125" customWidth="1"/>
    <x:col min="6" max="6" width="10" customWidth="1"/>
    <x:col min="7" max="7" width="16" customWidth="1"/>
    <x:col min="8" max="8" width="55.5" customWidth="1"/>
    <x:col min="9" max="9" width="8" customWidth="1"/>
    <x:col min="10" max="10" width="6.83203125" customWidth="1"/>
    <x:col min="11" max="11" width="7" customWidth="1"/>
    <x:col min="12" max="12" width="7.1640625" customWidth="1"/>
  </x:cols>
  <x:sheetData>
    <x:row r="1" ht="28" customHeight="1">
      <x:c r="A1" s="440" t="s">
        <x:v>275</x:v>
      </x:c>
      <x:c r="B1" s="441"/>
      <x:c r="C1" s="441"/>
      <x:c r="D1" s="441"/>
      <x:c r="E1" s="441"/>
      <x:c r="F1" s="441"/>
      <x:c r="G1" s="442"/>
    </x:row>
    <x:row r="2" ht="17">
      <x:c r="A2" s="443"/>
      <x:c r="B2" s="443"/>
      <x:c r="C2" s="443"/>
      <x:c r="D2" s="443"/>
      <x:c r="E2" s="443"/>
      <x:c r="F2" s="443"/>
      <x:c r="G2" s="443"/>
    </x:row>
    <x:row r="3" ht="34" customHeight="1">
      <x:c r="A3" s="444" t="s">
        <x:v>276</x:v>
      </x:c>
      <x:c r="B3" s="445" t="s">
        <x:v>277</x:v>
      </x:c>
      <x:c r="C3" s="445" t="s">
        <x:v>278</x:v>
      </x:c>
      <x:c r="D3" s="445" t="s">
        <x:v>279</x:v>
      </x:c>
      <x:c r="E3" s="445" t="s">
        <x:v>17</x:v>
      </x:c>
      <x:c r="F3" s="445" t="s">
        <x:v>280</x:v>
      </x:c>
      <x:c r="G3" s="446" t="s">
        <x:v>281</x:v>
      </x:c>
    </x:row>
    <x:row r="4" ht="20" customHeight="1">
      <x:c r="A4" s="447" t="s">
        <x:v>282</x:v>
      </x:c>
      <x:c r="B4" s="448" t="s">
        <x:v>283</x:v>
      </x:c>
      <x:c r="C4" s="449">
        <x:v>145</x:v>
      </x:c>
      <x:c r="D4" s="450">
        <x:v>19</x:v>
      </x:c>
      <x:c r="E4" s="450" t="s">
        <x:v>284</x:v>
      </x:c>
      <x:c r="F4" s="449">
        <x:v>80</x:v>
      </x:c>
      <x:c r="G4" s="451">
        <x:v>3</x:v>
      </x:c>
    </x:row>
    <x:row r="5" ht="20" customHeight="1">
      <x:c r="A5" s="452" t="s">
        <x:v>282</x:v>
      </x:c>
      <x:c r="B5" s="453" t="s">
        <x:v>283</x:v>
      </x:c>
      <x:c r="C5" s="454">
        <x:v>144</x:v>
      </x:c>
      <x:c r="D5" s="455">
        <x:v>19</x:v>
      </x:c>
      <x:c r="E5" s="455" t="s">
        <x:v>285</x:v>
      </x:c>
      <x:c r="F5" s="454">
        <x:v>79</x:v>
      </x:c>
      <x:c r="G5" s="456">
        <x:v>2.9</x:v>
      </x:c>
    </x:row>
    <x:row r="6" ht="20" customHeight="1">
      <x:c r="A6" s="452" t="s">
        <x:v>282</x:v>
      </x:c>
      <x:c r="B6" s="453" t="s">
        <x:v>283</x:v>
      </x:c>
      <x:c r="C6" s="454">
        <x:v>143</x:v>
      </x:c>
      <x:c r="D6" s="455">
        <x:v>19</x:v>
      </x:c>
      <x:c r="E6" s="455" t="s">
        <x:v>285</x:v>
      </x:c>
      <x:c r="F6" s="454">
        <x:v>79</x:v>
      </x:c>
      <x:c r="G6" s="456">
        <x:v>2.9</x:v>
      </x:c>
    </x:row>
    <x:row r="7" ht="20" customHeight="1">
      <x:c r="A7" s="452" t="s">
        <x:v>282</x:v>
      </x:c>
      <x:c r="B7" s="453" t="s">
        <x:v>283</x:v>
      </x:c>
      <x:c r="C7" s="454">
        <x:v>142</x:v>
      </x:c>
      <x:c r="D7" s="455">
        <x:v>18</x:v>
      </x:c>
      <x:c r="E7" s="455" t="s">
        <x:v>286</x:v>
      </x:c>
      <x:c r="F7" s="454">
        <x:v>78</x:v>
      </x:c>
      <x:c r="G7" s="456">
        <x:v>2.8</x:v>
      </x:c>
    </x:row>
    <x:row r="8" ht="20" customHeight="1">
      <x:c r="A8" s="452" t="s">
        <x:v>282</x:v>
      </x:c>
      <x:c r="B8" s="453" t="s">
        <x:v>283</x:v>
      </x:c>
      <x:c r="C8" s="454">
        <x:v>141</x:v>
      </x:c>
      <x:c r="D8" s="455">
        <x:v>18</x:v>
      </x:c>
      <x:c r="E8" s="455" t="s">
        <x:v>286</x:v>
      </x:c>
      <x:c r="F8" s="454">
        <x:v>77</x:v>
      </x:c>
      <x:c r="G8" s="456">
        <x:v>2.7</x:v>
      </x:c>
    </x:row>
    <x:row r="9" ht="20" customHeight="1">
      <x:c r="A9" s="452" t="s">
        <x:v>282</x:v>
      </x:c>
      <x:c r="B9" s="453" t="s">
        <x:v>283</x:v>
      </x:c>
      <x:c r="C9" s="454">
        <x:v>140</x:v>
      </x:c>
      <x:c r="D9" s="455">
        <x:v>18</x:v>
      </x:c>
      <x:c r="E9" s="455" t="s">
        <x:v>287</x:v>
      </x:c>
      <x:c r="F9" s="454">
        <x:v>77</x:v>
      </x:c>
      <x:c r="G9" s="456">
        <x:v>2.7</x:v>
      </x:c>
    </x:row>
    <x:row r="10" ht="20" customHeight="1">
      <x:c r="A10" s="452" t="s">
        <x:v>282</x:v>
      </x:c>
      <x:c r="B10" s="453" t="s">
        <x:v>283</x:v>
      </x:c>
      <x:c r="C10" s="454">
        <x:v>139</x:v>
      </x:c>
      <x:c r="D10" s="455">
        <x:v>18</x:v>
      </x:c>
      <x:c r="E10" s="455" t="s">
        <x:v>288</x:v>
      </x:c>
      <x:c r="F10" s="454">
        <x:v>76</x:v>
      </x:c>
      <x:c r="G10" s="456">
        <x:v>2.6</x:v>
      </x:c>
    </x:row>
    <x:row r="11" ht="20" customHeight="1">
      <x:c r="A11" s="452" t="s">
        <x:v>282</x:v>
      </x:c>
      <x:c r="B11" s="453" t="s">
        <x:v>283</x:v>
      </x:c>
      <x:c r="C11" s="454">
        <x:v>138</x:v>
      </x:c>
      <x:c r="D11" s="455">
        <x:v>18</x:v>
      </x:c>
      <x:c r="E11" s="455" t="s">
        <x:v>289</x:v>
      </x:c>
      <x:c r="F11" s="454">
        <x:v>75</x:v>
      </x:c>
      <x:c r="G11" s="456">
        <x:v>2.5</x:v>
      </x:c>
    </x:row>
    <x:row r="12" ht="20" customHeight="1">
      <x:c r="A12" s="452" t="s">
        <x:v>282</x:v>
      </x:c>
      <x:c r="B12" s="453" t="s">
        <x:v>283</x:v>
      </x:c>
      <x:c r="C12" s="454">
        <x:v>137</x:v>
      </x:c>
      <x:c r="D12" s="455">
        <x:v>17</x:v>
      </x:c>
      <x:c r="E12" s="455" t="s">
        <x:v>290</x:v>
      </x:c>
      <x:c r="F12" s="454">
        <x:v>75</x:v>
      </x:c>
      <x:c r="G12" s="456">
        <x:v>2.5</x:v>
      </x:c>
    </x:row>
    <x:row r="13" ht="20" customHeight="1">
      <x:c r="A13" s="452" t="s">
        <x:v>282</x:v>
      </x:c>
      <x:c r="B13" s="453" t="s">
        <x:v>283</x:v>
      </x:c>
      <x:c r="C13" s="454">
        <x:v>136</x:v>
      </x:c>
      <x:c r="D13" s="455">
        <x:v>17</x:v>
      </x:c>
      <x:c r="E13" s="455" t="s">
        <x:v>291</x:v>
      </x:c>
      <x:c r="F13" s="454">
        <x:v>74</x:v>
      </x:c>
      <x:c r="G13" s="456">
        <x:v>2.4</x:v>
      </x:c>
    </x:row>
    <x:row r="14" ht="20" customHeight="1">
      <x:c r="A14" s="452" t="s">
        <x:v>282</x:v>
      </x:c>
      <x:c r="B14" s="453" t="s">
        <x:v>283</x:v>
      </x:c>
      <x:c r="C14" s="454">
        <x:v>135</x:v>
      </x:c>
      <x:c r="D14" s="455">
        <x:v>17</x:v>
      </x:c>
      <x:c r="E14" s="455" t="s">
        <x:v>292</x:v>
      </x:c>
      <x:c r="F14" s="454">
        <x:v>73</x:v>
      </x:c>
      <x:c r="G14" s="456">
        <x:v>2.2999999999999998</x:v>
      </x:c>
    </x:row>
    <x:row r="15" ht="20" customHeight="1">
      <x:c r="A15" s="452" t="s">
        <x:v>282</x:v>
      </x:c>
      <x:c r="B15" s="453" t="s">
        <x:v>283</x:v>
      </x:c>
      <x:c r="C15" s="454">
        <x:v>134</x:v>
      </x:c>
      <x:c r="D15" s="455">
        <x:v>17</x:v>
      </x:c>
      <x:c r="E15" s="455" t="s">
        <x:v>293</x:v>
      </x:c>
      <x:c r="F15" s="454">
        <x:v>73</x:v>
      </x:c>
      <x:c r="G15" s="456">
        <x:v>2.2999999999999998</x:v>
      </x:c>
    </x:row>
    <x:row r="16" ht="20" customHeight="1">
      <x:c r="A16" s="452" t="s">
        <x:v>282</x:v>
      </x:c>
      <x:c r="B16" s="453" t="s">
        <x:v>283</x:v>
      </x:c>
      <x:c r="C16" s="454">
        <x:v>133</x:v>
      </x:c>
      <x:c r="D16" s="455">
        <x:v>17</x:v>
      </x:c>
      <x:c r="E16" s="455" t="s">
        <x:v>294</x:v>
      </x:c>
      <x:c r="F16" s="454">
        <x:v>72</x:v>
      </x:c>
      <x:c r="G16" s="456">
        <x:v>2.2000000000000002</x:v>
      </x:c>
    </x:row>
    <x:row r="17" ht="20" customHeight="1">
      <x:c r="A17" s="452" t="s">
        <x:v>282</x:v>
      </x:c>
      <x:c r="B17" s="453" t="s">
        <x:v>283</x:v>
      </x:c>
      <x:c r="C17" s="454">
        <x:v>132</x:v>
      </x:c>
      <x:c r="D17" s="455">
        <x:v>16</x:v>
      </x:c>
      <x:c r="E17" s="455" t="s">
        <x:v>295</x:v>
      </x:c>
      <x:c r="F17" s="454">
        <x:v>71</x:v>
      </x:c>
      <x:c r="G17" s="456">
        <x:v>2.1</x:v>
      </x:c>
    </x:row>
    <x:row r="18" ht="20" customHeight="1">
      <x:c r="A18" s="457" t="s">
        <x:v>282</x:v>
      </x:c>
      <x:c r="B18" s="458" t="s">
        <x:v>283</x:v>
      </x:c>
      <x:c r="C18" s="459">
        <x:v>131</x:v>
      </x:c>
      <x:c r="D18" s="460">
        <x:v>16</x:v>
      </x:c>
      <x:c r="E18" s="460" t="s">
        <x:v>296</x:v>
      </x:c>
      <x:c r="F18" s="459">
        <x:v>71</x:v>
      </x:c>
      <x:c r="G18" s="461">
        <x:v>2.1</x:v>
      </x:c>
    </x:row>
    <x:row r="19" ht="20" customHeight="1">
      <x:c r="A19" s="462" t="s">
        <x:v>282</x:v>
      </x:c>
      <x:c r="B19" s="463" t="s">
        <x:v>283</x:v>
      </x:c>
      <x:c r="C19" s="464">
        <x:v>130</x:v>
      </x:c>
      <x:c r="D19" s="465">
        <x:v>16</x:v>
      </x:c>
      <x:c r="E19" s="465" t="s">
        <x:v>297</x:v>
      </x:c>
      <x:c r="F19" s="464">
        <x:v>70</x:v>
      </x:c>
      <x:c r="G19" s="466">
        <x:v>2</x:v>
      </x:c>
    </x:row>
    <x:row r="20" ht="20" customHeight="1">
      <x:c r="A20" s="467" t="s">
        <x:v>298</x:v>
      </x:c>
      <x:c r="B20" s="468" t="s">
        <x:v>299</x:v>
      </x:c>
      <x:c r="C20" s="469">
        <x:v>129</x:v>
      </x:c>
      <x:c r="D20" s="470">
        <x:v>16</x:v>
      </x:c>
      <x:c r="E20" s="470" t="s">
        <x:v>300</x:v>
      </x:c>
      <x:c r="F20" s="469">
        <x:v>69</x:v>
      </x:c>
      <x:c r="G20" s="471">
        <x:v>1.9</x:v>
      </x:c>
    </x:row>
    <x:row r="21" ht="20" customHeight="1">
      <x:c r="A21" s="472" t="s">
        <x:v>298</x:v>
      </x:c>
      <x:c r="B21" s="473" t="s">
        <x:v>299</x:v>
      </x:c>
      <x:c r="C21" s="474">
        <x:v>128</x:v>
      </x:c>
      <x:c r="D21" s="475">
        <x:v>16</x:v>
      </x:c>
      <x:c r="E21" s="475" t="s">
        <x:v>301</x:v>
      </x:c>
      <x:c r="F21" s="474">
        <x:v>69</x:v>
      </x:c>
      <x:c r="G21" s="476">
        <x:v>1.9</x:v>
      </x:c>
    </x:row>
    <x:row r="22" ht="20" customHeight="1">
      <x:c r="A22" s="472" t="s">
        <x:v>298</x:v>
      </x:c>
      <x:c r="B22" s="473" t="s">
        <x:v>299</x:v>
      </x:c>
      <x:c r="C22" s="474">
        <x:v>127</x:v>
      </x:c>
      <x:c r="D22" s="475">
        <x:v>15</x:v>
      </x:c>
      <x:c r="E22" s="475" t="s">
        <x:v>302</x:v>
      </x:c>
      <x:c r="F22" s="474">
        <x:v>68</x:v>
      </x:c>
      <x:c r="G22" s="476">
        <x:v>1.8</x:v>
      </x:c>
    </x:row>
    <x:row r="23" ht="20" customHeight="1">
      <x:c r="A23" s="472" t="s">
        <x:v>298</x:v>
      </x:c>
      <x:c r="B23" s="473" t="s">
        <x:v>299</x:v>
      </x:c>
      <x:c r="C23" s="474">
        <x:v>126</x:v>
      </x:c>
      <x:c r="D23" s="475">
        <x:v>15</x:v>
      </x:c>
      <x:c r="E23" s="475" t="s">
        <x:v>303</x:v>
      </x:c>
      <x:c r="F23" s="474">
        <x:v>67</x:v>
      </x:c>
      <x:c r="G23" s="476">
        <x:v>1.7</x:v>
      </x:c>
    </x:row>
    <x:row r="24" ht="20" customHeight="1">
      <x:c r="A24" s="472" t="s">
        <x:v>298</x:v>
      </x:c>
      <x:c r="B24" s="473" t="s">
        <x:v>299</x:v>
      </x:c>
      <x:c r="C24" s="474">
        <x:v>125</x:v>
      </x:c>
      <x:c r="D24" s="475">
        <x:v>15</x:v>
      </x:c>
      <x:c r="E24" s="475" t="s">
        <x:v>304</x:v>
      </x:c>
      <x:c r="F24" s="474">
        <x:v>67</x:v>
      </x:c>
      <x:c r="G24" s="476">
        <x:v>1.7</x:v>
      </x:c>
    </x:row>
    <x:row r="25" ht="20" customHeight="1">
      <x:c r="A25" s="472" t="s">
        <x:v>298</x:v>
      </x:c>
      <x:c r="B25" s="473" t="s">
        <x:v>299</x:v>
      </x:c>
      <x:c r="C25" s="474">
        <x:v>124</x:v>
      </x:c>
      <x:c r="D25" s="475">
        <x:v>15</x:v>
      </x:c>
      <x:c r="E25" s="475" t="s">
        <x:v>305</x:v>
      </x:c>
      <x:c r="F25" s="474">
        <x:v>66</x:v>
      </x:c>
      <x:c r="G25" s="476">
        <x:v>1.6</x:v>
      </x:c>
    </x:row>
    <x:row r="26" ht="20" customHeight="1">
      <x:c r="A26" s="472" t="s">
        <x:v>298</x:v>
      </x:c>
      <x:c r="B26" s="473" t="s">
        <x:v>299</x:v>
      </x:c>
      <x:c r="C26" s="474">
        <x:v>123</x:v>
      </x:c>
      <x:c r="D26" s="475">
        <x:v>15</x:v>
      </x:c>
      <x:c r="E26" s="475" t="s">
        <x:v>306</x:v>
      </x:c>
      <x:c r="F26" s="474">
        <x:v>65</x:v>
      </x:c>
      <x:c r="G26" s="476">
        <x:v>1.5</x:v>
      </x:c>
    </x:row>
    <x:row r="27" ht="20" customHeight="1">
      <x:c r="A27" s="472" t="s">
        <x:v>298</x:v>
      </x:c>
      <x:c r="B27" s="473" t="s">
        <x:v>299</x:v>
      </x:c>
      <x:c r="C27" s="474">
        <x:v>122</x:v>
      </x:c>
      <x:c r="D27" s="475">
        <x:v>14</x:v>
      </x:c>
      <x:c r="E27" s="475" t="s">
        <x:v>307</x:v>
      </x:c>
      <x:c r="F27" s="474">
        <x:v>65</x:v>
      </x:c>
      <x:c r="G27" s="476">
        <x:v>1.5</x:v>
      </x:c>
    </x:row>
    <x:row r="28" ht="20" customHeight="1">
      <x:c r="A28" s="477" t="s">
        <x:v>298</x:v>
      </x:c>
      <x:c r="B28" s="478" t="s">
        <x:v>299</x:v>
      </x:c>
      <x:c r="C28" s="479">
        <x:v>121</x:v>
      </x:c>
      <x:c r="D28" s="480">
        <x:v>14</x:v>
      </x:c>
      <x:c r="E28" s="480" t="s">
        <x:v>308</x:v>
      </x:c>
      <x:c r="F28" s="479">
        <x:v>64</x:v>
      </x:c>
      <x:c r="G28" s="481">
        <x:v>1.4</x:v>
      </x:c>
    </x:row>
    <x:row r="29" ht="20" customHeight="1">
      <x:c r="A29" s="482" t="s">
        <x:v>298</x:v>
      </x:c>
      <x:c r="B29" s="483" t="s">
        <x:v>299</x:v>
      </x:c>
      <x:c r="C29" s="484">
        <x:v>120</x:v>
      </x:c>
      <x:c r="D29" s="485">
        <x:v>14</x:v>
      </x:c>
      <x:c r="E29" s="485" t="s">
        <x:v>309</x:v>
      </x:c>
      <x:c r="F29" s="484">
        <x:v>63</x:v>
      </x:c>
      <x:c r="G29" s="486">
        <x:v>1.3</x:v>
      </x:c>
    </x:row>
    <x:row r="30" ht="20" customHeight="1">
      <x:c r="A30" s="487" t="s">
        <x:v>310</x:v>
      </x:c>
      <x:c r="B30" s="488" t="s">
        <x:v>311</x:v>
      </x:c>
      <x:c r="C30" s="489">
        <x:v>119</x:v>
      </x:c>
      <x:c r="D30" s="490">
        <x:v>14</x:v>
      </x:c>
      <x:c r="E30" s="490" t="s">
        <x:v>312</x:v>
      </x:c>
      <x:c r="F30" s="489">
        <x:v>63</x:v>
      </x:c>
      <x:c r="G30" s="491">
        <x:v>1.3</x:v>
      </x:c>
    </x:row>
    <x:row r="31" ht="20" customHeight="1">
      <x:c r="A31" s="492" t="s">
        <x:v>310</x:v>
      </x:c>
      <x:c r="B31" s="493" t="s">
        <x:v>311</x:v>
      </x:c>
      <x:c r="C31" s="494">
        <x:v>118</x:v>
      </x:c>
      <x:c r="D31" s="495">
        <x:v>14</x:v>
      </x:c>
      <x:c r="E31" s="495" t="s">
        <x:v>313</x:v>
      </x:c>
      <x:c r="F31" s="494">
        <x:v>62</x:v>
      </x:c>
      <x:c r="G31" s="496">
        <x:v>1.2</x:v>
      </x:c>
    </x:row>
    <x:row r="32" ht="20" customHeight="1">
      <x:c r="A32" s="492" t="s">
        <x:v>310</x:v>
      </x:c>
      <x:c r="B32" s="493" t="s">
        <x:v>311</x:v>
      </x:c>
      <x:c r="C32" s="494">
        <x:v>117</x:v>
      </x:c>
      <x:c r="D32" s="495">
        <x:v>13</x:v>
      </x:c>
      <x:c r="E32" s="495" t="s">
        <x:v>314</x:v>
      </x:c>
      <x:c r="F32" s="494">
        <x:v>61</x:v>
      </x:c>
      <x:c r="G32" s="496">
        <x:v>1.1000000000000001</x:v>
      </x:c>
    </x:row>
    <x:row r="33" ht="20" customHeight="1">
      <x:c r="A33" s="492" t="s">
        <x:v>310</x:v>
      </x:c>
      <x:c r="B33" s="493" t="s">
        <x:v>311</x:v>
      </x:c>
      <x:c r="C33" s="494">
        <x:v>116</x:v>
      </x:c>
      <x:c r="D33" s="495">
        <x:v>13</x:v>
      </x:c>
      <x:c r="E33" s="495" t="s">
        <x:v>315</x:v>
      </x:c>
      <x:c r="F33" s="494">
        <x:v>61</x:v>
      </x:c>
      <x:c r="G33" s="496">
        <x:v>1.1000000000000001</x:v>
      </x:c>
    </x:row>
    <x:row r="34" ht="20" customHeight="1">
      <x:c r="A34" s="492" t="s">
        <x:v>310</x:v>
      </x:c>
      <x:c r="B34" s="493" t="s">
        <x:v>311</x:v>
      </x:c>
      <x:c r="C34" s="494">
        <x:v>115</x:v>
      </x:c>
      <x:c r="D34" s="495">
        <x:v>13</x:v>
      </x:c>
      <x:c r="E34" s="495" t="s">
        <x:v>316</x:v>
      </x:c>
      <x:c r="F34" s="494">
        <x:v>60</x:v>
      </x:c>
      <x:c r="G34" s="496">
        <x:v>1</x:v>
      </x:c>
    </x:row>
    <x:row r="35" ht="20" customHeight="1">
      <x:c r="A35" s="492" t="s">
        <x:v>310</x:v>
      </x:c>
      <x:c r="B35" s="493" t="s">
        <x:v>311</x:v>
      </x:c>
      <x:c r="C35" s="494">
        <x:v>114</x:v>
      </x:c>
      <x:c r="D35" s="495">
        <x:v>13</x:v>
      </x:c>
      <x:c r="E35" s="495" t="s">
        <x:v>317</x:v>
      </x:c>
      <x:c r="F35" s="494">
        <x:v>59</x:v>
      </x:c>
      <x:c r="G35" s="496">
        <x:v>0.9</x:v>
      </x:c>
    </x:row>
    <x:row r="36" ht="20" customHeight="1">
      <x:c r="A36" s="492" t="s">
        <x:v>310</x:v>
      </x:c>
      <x:c r="B36" s="493" t="s">
        <x:v>311</x:v>
      </x:c>
      <x:c r="C36" s="494">
        <x:v>113</x:v>
      </x:c>
      <x:c r="D36" s="495">
        <x:v>13</x:v>
      </x:c>
      <x:c r="E36" s="495" t="s">
        <x:v>318</x:v>
      </x:c>
      <x:c r="F36" s="494">
        <x:v>59</x:v>
      </x:c>
      <x:c r="G36" s="496">
        <x:v>0.9</x:v>
      </x:c>
    </x:row>
    <x:row r="37" ht="20" customHeight="1">
      <x:c r="A37" s="492" t="s">
        <x:v>310</x:v>
      </x:c>
      <x:c r="B37" s="493" t="s">
        <x:v>311</x:v>
      </x:c>
      <x:c r="C37" s="494">
        <x:v>112</x:v>
      </x:c>
      <x:c r="D37" s="495">
        <x:v>12</x:v>
      </x:c>
      <x:c r="E37" s="495" t="s">
        <x:v>319</x:v>
      </x:c>
      <x:c r="F37" s="494">
        <x:v>58</x:v>
      </x:c>
      <x:c r="G37" s="496">
        <x:v>0.8</x:v>
      </x:c>
    </x:row>
    <x:row r="38" ht="20" customHeight="1">
      <x:c r="A38" s="497" t="s">
        <x:v>310</x:v>
      </x:c>
      <x:c r="B38" s="498" t="s">
        <x:v>311</x:v>
      </x:c>
      <x:c r="C38" s="499">
        <x:v>111</x:v>
      </x:c>
      <x:c r="D38" s="500">
        <x:v>12</x:v>
      </x:c>
      <x:c r="E38" s="500" t="s">
        <x:v>320</x:v>
      </x:c>
      <x:c r="F38" s="499">
        <x:v>57</x:v>
      </x:c>
      <x:c r="G38" s="501">
        <x:v>0.7</x:v>
      </x:c>
    </x:row>
    <x:row r="39" ht="20" customHeight="1">
      <x:c r="A39" s="502" t="s">
        <x:v>310</x:v>
      </x:c>
      <x:c r="B39" s="503" t="s">
        <x:v>311</x:v>
      </x:c>
      <x:c r="C39" s="504">
        <x:v>110</x:v>
      </x:c>
      <x:c r="D39" s="505">
        <x:v>12</x:v>
      </x:c>
      <x:c r="E39" s="505" t="s">
        <x:v>321</x:v>
      </x:c>
      <x:c r="F39" s="504">
        <x:v>57</x:v>
      </x:c>
      <x:c r="G39" s="506">
        <x:v>0.7</x:v>
      </x:c>
    </x:row>
    <x:row r="40" ht="20" customHeight="1">
      <x:c r="A40" s="507" t="s">
        <x:v>322</x:v>
      </x:c>
      <x:c r="B40" s="508" t="s">
        <x:v>323</x:v>
      </x:c>
      <x:c r="C40" s="509">
        <x:v>109</x:v>
      </x:c>
      <x:c r="D40" s="510">
        <x:v>12</x:v>
      </x:c>
      <x:c r="E40" s="510" t="s">
        <x:v>324</x:v>
      </x:c>
      <x:c r="F40" s="509">
        <x:v>56</x:v>
      </x:c>
      <x:c r="G40" s="511">
        <x:v>0.6</x:v>
      </x:c>
    </x:row>
    <x:row r="41" ht="20" customHeight="1">
      <x:c r="A41" s="512" t="s">
        <x:v>322</x:v>
      </x:c>
      <x:c r="B41" s="513" t="s">
        <x:v>323</x:v>
      </x:c>
      <x:c r="C41" s="514">
        <x:v>108</x:v>
      </x:c>
      <x:c r="D41" s="515">
        <x:v>12</x:v>
      </x:c>
      <x:c r="E41" s="515" t="s">
        <x:v>325</x:v>
      </x:c>
      <x:c r="F41" s="514">
        <x:v>55</x:v>
      </x:c>
      <x:c r="G41" s="516">
        <x:v>0.5</x:v>
      </x:c>
    </x:row>
    <x:row r="42" ht="20" customHeight="1">
      <x:c r="A42" s="512" t="s">
        <x:v>322</x:v>
      </x:c>
      <x:c r="B42" s="513" t="s">
        <x:v>323</x:v>
      </x:c>
      <x:c r="C42" s="514">
        <x:v>107</x:v>
      </x:c>
      <x:c r="D42" s="515">
        <x:v>11</x:v>
      </x:c>
      <x:c r="E42" s="515" t="s">
        <x:v>326</x:v>
      </x:c>
      <x:c r="F42" s="514">
        <x:v>55</x:v>
      </x:c>
      <x:c r="G42" s="516">
        <x:v>0.5</x:v>
      </x:c>
    </x:row>
    <x:row r="43" ht="20" customHeight="1">
      <x:c r="A43" s="512" t="s">
        <x:v>322</x:v>
      </x:c>
      <x:c r="B43" s="513" t="s">
        <x:v>323</x:v>
      </x:c>
      <x:c r="C43" s="514">
        <x:v>106</x:v>
      </x:c>
      <x:c r="D43" s="515">
        <x:v>11</x:v>
      </x:c>
      <x:c r="E43" s="515" t="s">
        <x:v>327</x:v>
      </x:c>
      <x:c r="F43" s="514">
        <x:v>54</x:v>
      </x:c>
      <x:c r="G43" s="516">
        <x:v>0.4</x:v>
      </x:c>
    </x:row>
    <x:row r="44" ht="20" customHeight="1">
      <x:c r="A44" s="512" t="s">
        <x:v>322</x:v>
      </x:c>
      <x:c r="B44" s="513" t="s">
        <x:v>323</x:v>
      </x:c>
      <x:c r="C44" s="514">
        <x:v>105</x:v>
      </x:c>
      <x:c r="D44" s="515">
        <x:v>11</x:v>
      </x:c>
      <x:c r="E44" s="515" t="s">
        <x:v>328</x:v>
      </x:c>
      <x:c r="F44" s="514">
        <x:v>53</x:v>
      </x:c>
      <x:c r="G44" s="516">
        <x:v>0.3</x:v>
      </x:c>
    </x:row>
    <x:row r="45" ht="20" customHeight="1">
      <x:c r="A45" s="512" t="s">
        <x:v>322</x:v>
      </x:c>
      <x:c r="B45" s="513" t="s">
        <x:v>323</x:v>
      </x:c>
      <x:c r="C45" s="514">
        <x:v>104</x:v>
      </x:c>
      <x:c r="D45" s="515">
        <x:v>11</x:v>
      </x:c>
      <x:c r="E45" s="515" t="s">
        <x:v>329</x:v>
      </x:c>
      <x:c r="F45" s="514">
        <x:v>53</x:v>
      </x:c>
      <x:c r="G45" s="516">
        <x:v>0.3</x:v>
      </x:c>
    </x:row>
    <x:row r="46" ht="20" customHeight="1">
      <x:c r="A46" s="512" t="s">
        <x:v>322</x:v>
      </x:c>
      <x:c r="B46" s="513" t="s">
        <x:v>323</x:v>
      </x:c>
      <x:c r="C46" s="514">
        <x:v>103</x:v>
      </x:c>
      <x:c r="D46" s="515">
        <x:v>11</x:v>
      </x:c>
      <x:c r="E46" s="515" t="s">
        <x:v>330</x:v>
      </x:c>
      <x:c r="F46" s="514">
        <x:v>52</x:v>
      </x:c>
      <x:c r="G46" s="516">
        <x:v>0.2</x:v>
      </x:c>
    </x:row>
    <x:row r="47" ht="20" customHeight="1">
      <x:c r="A47" s="512" t="s">
        <x:v>322</x:v>
      </x:c>
      <x:c r="B47" s="513" t="s">
        <x:v>323</x:v>
      </x:c>
      <x:c r="C47" s="514">
        <x:v>102</x:v>
      </x:c>
      <x:c r="D47" s="515">
        <x:v>10</x:v>
      </x:c>
      <x:c r="E47" s="515" t="s">
        <x:v>331</x:v>
      </x:c>
      <x:c r="F47" s="514">
        <x:v>51</x:v>
      </x:c>
      <x:c r="G47" s="516">
        <x:v>0.1</x:v>
      </x:c>
    </x:row>
    <x:row r="48" ht="20" customHeight="1">
      <x:c r="A48" s="512" t="s">
        <x:v>322</x:v>
      </x:c>
      <x:c r="B48" s="513" t="s">
        <x:v>323</x:v>
      </x:c>
      <x:c r="C48" s="514">
        <x:v>101</x:v>
      </x:c>
      <x:c r="D48" s="515">
        <x:v>10</x:v>
      </x:c>
      <x:c r="E48" s="515" t="s">
        <x:v>332</x:v>
      </x:c>
      <x:c r="F48" s="514">
        <x:v>51</x:v>
      </x:c>
      <x:c r="G48" s="516">
        <x:v>0.1</x:v>
      </x:c>
    </x:row>
    <x:row r="49" ht="20" customHeight="1">
      <x:c r="A49" s="512" t="s">
        <x:v>322</x:v>
      </x:c>
      <x:c r="B49" s="513" t="s">
        <x:v>323</x:v>
      </x:c>
      <x:c r="C49" s="514">
        <x:v>100</x:v>
      </x:c>
      <x:c r="D49" s="515">
        <x:v>10</x:v>
      </x:c>
      <x:c r="E49" s="515" t="s">
        <x:v>333</x:v>
      </x:c>
      <x:c r="F49" s="514">
        <x:v>50</x:v>
      </x:c>
      <x:c r="G49" s="516">
        <x:v>0</x:v>
      </x:c>
    </x:row>
    <x:row r="50" ht="20" customHeight="1">
      <x:c r="A50" s="512" t="s">
        <x:v>322</x:v>
      </x:c>
      <x:c r="B50" s="513" t="s">
        <x:v>323</x:v>
      </x:c>
      <x:c r="C50" s="514">
        <x:v>99</x:v>
      </x:c>
      <x:c r="D50" s="515">
        <x:v>10</x:v>
      </x:c>
      <x:c r="E50" s="515" t="s">
        <x:v>334</x:v>
      </x:c>
      <x:c r="F50" s="514">
        <x:v>49</x:v>
      </x:c>
      <x:c r="G50" s="516">
        <x:v>-0.1</x:v>
      </x:c>
    </x:row>
    <x:row r="51" ht="20" customHeight="1">
      <x:c r="A51" s="512" t="s">
        <x:v>322</x:v>
      </x:c>
      <x:c r="B51" s="513" t="s">
        <x:v>323</x:v>
      </x:c>
      <x:c r="C51" s="514">
        <x:v>98</x:v>
      </x:c>
      <x:c r="D51" s="515">
        <x:v>10</x:v>
      </x:c>
      <x:c r="E51" s="515" t="s">
        <x:v>335</x:v>
      </x:c>
      <x:c r="F51" s="514">
        <x:v>49</x:v>
      </x:c>
      <x:c r="G51" s="516">
        <x:v>-0.1</x:v>
      </x:c>
    </x:row>
    <x:row r="52" ht="20" customHeight="1">
      <x:c r="A52" s="512" t="s">
        <x:v>322</x:v>
      </x:c>
      <x:c r="B52" s="513" t="s">
        <x:v>323</x:v>
      </x:c>
      <x:c r="C52" s="514">
        <x:v>97</x:v>
      </x:c>
      <x:c r="D52" s="515">
        <x:v>9</x:v>
      </x:c>
      <x:c r="E52" s="515" t="s">
        <x:v>336</x:v>
      </x:c>
      <x:c r="F52" s="514">
        <x:v>48</x:v>
      </x:c>
      <x:c r="G52" s="516">
        <x:v>-0.2</x:v>
      </x:c>
    </x:row>
    <x:row r="53" ht="20" customHeight="1">
      <x:c r="A53" s="512" t="s">
        <x:v>322</x:v>
      </x:c>
      <x:c r="B53" s="513" t="s">
        <x:v>323</x:v>
      </x:c>
      <x:c r="C53" s="514">
        <x:v>96</x:v>
      </x:c>
      <x:c r="D53" s="515">
        <x:v>9</x:v>
      </x:c>
      <x:c r="E53" s="515" t="s">
        <x:v>337</x:v>
      </x:c>
      <x:c r="F53" s="514">
        <x:v>47</x:v>
      </x:c>
      <x:c r="G53" s="516">
        <x:v>-0.3</x:v>
      </x:c>
    </x:row>
    <x:row r="54" ht="20" customHeight="1">
      <x:c r="A54" s="512" t="s">
        <x:v>322</x:v>
      </x:c>
      <x:c r="B54" s="513" t="s">
        <x:v>323</x:v>
      </x:c>
      <x:c r="C54" s="514">
        <x:v>95</x:v>
      </x:c>
      <x:c r="D54" s="515">
        <x:v>9</x:v>
      </x:c>
      <x:c r="E54" s="515" t="s">
        <x:v>338</x:v>
      </x:c>
      <x:c r="F54" s="514">
        <x:v>47</x:v>
      </x:c>
      <x:c r="G54" s="516">
        <x:v>-0.3</x:v>
      </x:c>
    </x:row>
    <x:row r="55" ht="20" customHeight="1">
      <x:c r="A55" s="512" t="s">
        <x:v>322</x:v>
      </x:c>
      <x:c r="B55" s="513" t="s">
        <x:v>323</x:v>
      </x:c>
      <x:c r="C55" s="514">
        <x:v>94</x:v>
      </x:c>
      <x:c r="D55" s="515">
        <x:v>9</x:v>
      </x:c>
      <x:c r="E55" s="515" t="s">
        <x:v>339</x:v>
      </x:c>
      <x:c r="F55" s="514">
        <x:v>46</x:v>
      </x:c>
      <x:c r="G55" s="516">
        <x:v>-0.4</x:v>
      </x:c>
    </x:row>
    <x:row r="56" ht="20" customHeight="1">
      <x:c r="A56" s="512" t="s">
        <x:v>322</x:v>
      </x:c>
      <x:c r="B56" s="513" t="s">
        <x:v>323</x:v>
      </x:c>
      <x:c r="C56" s="514">
        <x:v>93</x:v>
      </x:c>
      <x:c r="D56" s="515">
        <x:v>9</x:v>
      </x:c>
      <x:c r="E56" s="515" t="s">
        <x:v>340</x:v>
      </x:c>
      <x:c r="F56" s="514">
        <x:v>45</x:v>
      </x:c>
      <x:c r="G56" s="516">
        <x:v>-0.5</x:v>
      </x:c>
    </x:row>
    <x:row r="57" ht="20" customHeight="1">
      <x:c r="A57" s="512" t="s">
        <x:v>322</x:v>
      </x:c>
      <x:c r="B57" s="513" t="s">
        <x:v>323</x:v>
      </x:c>
      <x:c r="C57" s="514">
        <x:v>92</x:v>
      </x:c>
      <x:c r="D57" s="515">
        <x:v>8</x:v>
      </x:c>
      <x:c r="E57" s="515" t="s">
        <x:v>341</x:v>
      </x:c>
      <x:c r="F57" s="514">
        <x:v>45</x:v>
      </x:c>
      <x:c r="G57" s="516">
        <x:v>-0.5</x:v>
      </x:c>
    </x:row>
    <x:row r="58" ht="20" customHeight="1">
      <x:c r="A58" s="517" t="s">
        <x:v>322</x:v>
      </x:c>
      <x:c r="B58" s="518" t="s">
        <x:v>323</x:v>
      </x:c>
      <x:c r="C58" s="519">
        <x:v>91</x:v>
      </x:c>
      <x:c r="D58" s="520">
        <x:v>8</x:v>
      </x:c>
      <x:c r="E58" s="520" t="s">
        <x:v>342</x:v>
      </x:c>
      <x:c r="F58" s="519">
        <x:v>44</x:v>
      </x:c>
      <x:c r="G58" s="521">
        <x:v>-0.6</x:v>
      </x:c>
    </x:row>
    <x:row r="59" ht="20" customHeight="1">
      <x:c r="A59" s="522" t="s">
        <x:v>322</x:v>
      </x:c>
      <x:c r="B59" s="523" t="s">
        <x:v>323</x:v>
      </x:c>
      <x:c r="C59" s="524">
        <x:v>90</x:v>
      </x:c>
      <x:c r="D59" s="525">
        <x:v>8</x:v>
      </x:c>
      <x:c r="E59" s="525" t="s">
        <x:v>343</x:v>
      </x:c>
      <x:c r="F59" s="524">
        <x:v>43</x:v>
      </x:c>
      <x:c r="G59" s="526">
        <x:v>-0.7</x:v>
      </x:c>
    </x:row>
    <x:row r="60" ht="20" customHeight="1">
      <x:c r="A60" s="527" t="s">
        <x:v>344</x:v>
      </x:c>
      <x:c r="B60" s="528" t="s">
        <x:v>345</x:v>
      </x:c>
      <x:c r="C60" s="529">
        <x:v>89</x:v>
      </x:c>
      <x:c r="D60" s="530">
        <x:v>8</x:v>
      </x:c>
      <x:c r="E60" s="530" t="s">
        <x:v>346</x:v>
      </x:c>
      <x:c r="F60" s="529">
        <x:v>43</x:v>
      </x:c>
      <x:c r="G60" s="531">
        <x:v>-0.7</x:v>
      </x:c>
    </x:row>
    <x:row r="61" ht="20" customHeight="1">
      <x:c r="A61" s="532" t="s">
        <x:v>344</x:v>
      </x:c>
      <x:c r="B61" s="533" t="s">
        <x:v>345</x:v>
      </x:c>
      <x:c r="C61" s="534">
        <x:v>88</x:v>
      </x:c>
      <x:c r="D61" s="535">
        <x:v>8</x:v>
      </x:c>
      <x:c r="E61" s="535" t="s">
        <x:v>347</x:v>
      </x:c>
      <x:c r="F61" s="534">
        <x:v>42</x:v>
      </x:c>
      <x:c r="G61" s="536">
        <x:v>-0.8</x:v>
      </x:c>
    </x:row>
    <x:row r="62" ht="20" customHeight="1">
      <x:c r="A62" s="532" t="s">
        <x:v>344</x:v>
      </x:c>
      <x:c r="B62" s="533" t="s">
        <x:v>345</x:v>
      </x:c>
      <x:c r="C62" s="534">
        <x:v>87</x:v>
      </x:c>
      <x:c r="D62" s="535">
        <x:v>7</x:v>
      </x:c>
      <x:c r="E62" s="535" t="s">
        <x:v>348</x:v>
      </x:c>
      <x:c r="F62" s="534">
        <x:v>41</x:v>
      </x:c>
      <x:c r="G62" s="536">
        <x:v>-0.9</x:v>
      </x:c>
    </x:row>
    <x:row r="63" ht="20" customHeight="1">
      <x:c r="A63" s="532" t="s">
        <x:v>344</x:v>
      </x:c>
      <x:c r="B63" s="533" t="s">
        <x:v>345</x:v>
      </x:c>
      <x:c r="C63" s="534">
        <x:v>86</x:v>
      </x:c>
      <x:c r="D63" s="535">
        <x:v>7</x:v>
      </x:c>
      <x:c r="E63" s="535" t="s">
        <x:v>349</x:v>
      </x:c>
      <x:c r="F63" s="534">
        <x:v>41</x:v>
      </x:c>
      <x:c r="G63" s="536">
        <x:v>-0.9</x:v>
      </x:c>
    </x:row>
    <x:row r="64" ht="20" customHeight="1">
      <x:c r="A64" s="532" t="s">
        <x:v>344</x:v>
      </x:c>
      <x:c r="B64" s="533" t="s">
        <x:v>345</x:v>
      </x:c>
      <x:c r="C64" s="534">
        <x:v>85</x:v>
      </x:c>
      <x:c r="D64" s="535">
        <x:v>7</x:v>
      </x:c>
      <x:c r="E64" s="535" t="s">
        <x:v>350</x:v>
      </x:c>
      <x:c r="F64" s="534">
        <x:v>40</x:v>
      </x:c>
      <x:c r="G64" s="536">
        <x:v>-1</x:v>
      </x:c>
    </x:row>
    <x:row r="65" ht="20" customHeight="1">
      <x:c r="A65" s="532" t="s">
        <x:v>344</x:v>
      </x:c>
      <x:c r="B65" s="533" t="s">
        <x:v>345</x:v>
      </x:c>
      <x:c r="C65" s="534">
        <x:v>84</x:v>
      </x:c>
      <x:c r="D65" s="535">
        <x:v>7</x:v>
      </x:c>
      <x:c r="E65" s="535" t="s">
        <x:v>351</x:v>
      </x:c>
      <x:c r="F65" s="534">
        <x:v>39</x:v>
      </x:c>
      <x:c r="G65" s="536">
        <x:v>-1.1000000000000001</x:v>
      </x:c>
    </x:row>
    <x:row r="66" ht="20" customHeight="1">
      <x:c r="A66" s="532" t="s">
        <x:v>344</x:v>
      </x:c>
      <x:c r="B66" s="533" t="s">
        <x:v>345</x:v>
      </x:c>
      <x:c r="C66" s="534">
        <x:v>83</x:v>
      </x:c>
      <x:c r="D66" s="535">
        <x:v>7</x:v>
      </x:c>
      <x:c r="E66" s="535" t="s">
        <x:v>352</x:v>
      </x:c>
      <x:c r="F66" s="534">
        <x:v>39</x:v>
      </x:c>
      <x:c r="G66" s="536">
        <x:v>-1.1000000000000001</x:v>
      </x:c>
    </x:row>
    <x:row r="67" ht="20" customHeight="1">
      <x:c r="A67" s="532" t="s">
        <x:v>344</x:v>
      </x:c>
      <x:c r="B67" s="533" t="s">
        <x:v>345</x:v>
      </x:c>
      <x:c r="C67" s="534">
        <x:v>82</x:v>
      </x:c>
      <x:c r="D67" s="535">
        <x:v>6</x:v>
      </x:c>
      <x:c r="E67" s="535" t="s">
        <x:v>353</x:v>
      </x:c>
      <x:c r="F67" s="534">
        <x:v>38</x:v>
      </x:c>
      <x:c r="G67" s="536">
        <x:v>-1.2</x:v>
      </x:c>
    </x:row>
    <x:row r="68" ht="20" customHeight="1">
      <x:c r="A68" s="537" t="s">
        <x:v>344</x:v>
      </x:c>
      <x:c r="B68" s="538" t="s">
        <x:v>345</x:v>
      </x:c>
      <x:c r="C68" s="539">
        <x:v>81</x:v>
      </x:c>
      <x:c r="D68" s="540">
        <x:v>6</x:v>
      </x:c>
      <x:c r="E68" s="540" t="s">
        <x:v>354</x:v>
      </x:c>
      <x:c r="F68" s="539">
        <x:v>37</x:v>
      </x:c>
      <x:c r="G68" s="541">
        <x:v>-1.3</x:v>
      </x:c>
    </x:row>
    <x:row r="69" ht="20" customHeight="1">
      <x:c r="A69" s="542" t="s">
        <x:v>344</x:v>
      </x:c>
      <x:c r="B69" s="543" t="s">
        <x:v>345</x:v>
      </x:c>
      <x:c r="C69" s="544">
        <x:v>80</x:v>
      </x:c>
      <x:c r="D69" s="545">
        <x:v>6</x:v>
      </x:c>
      <x:c r="E69" s="545" t="s">
        <x:v>355</x:v>
      </x:c>
      <x:c r="F69" s="544">
        <x:v>37</x:v>
      </x:c>
      <x:c r="G69" s="546">
        <x:v>-1.3</x:v>
      </x:c>
    </x:row>
    <x:row r="70" ht="20" customHeight="1">
      <x:c r="A70" s="547" t="s">
        <x:v>356</x:v>
      </x:c>
      <x:c r="B70" s="548" t="s">
        <x:v>357</x:v>
      </x:c>
      <x:c r="C70" s="549">
        <x:v>79</x:v>
      </x:c>
      <x:c r="D70" s="550">
        <x:v>6</x:v>
      </x:c>
      <x:c r="E70" s="550" t="s">
        <x:v>358</x:v>
      </x:c>
      <x:c r="F70" s="549">
        <x:v>36</x:v>
      </x:c>
      <x:c r="G70" s="551">
        <x:v>-1.4</x:v>
      </x:c>
    </x:row>
    <x:row r="71" ht="20" customHeight="1">
      <x:c r="A71" s="552" t="s">
        <x:v>356</x:v>
      </x:c>
      <x:c r="B71" s="553" t="s">
        <x:v>357</x:v>
      </x:c>
      <x:c r="C71" s="554">
        <x:v>78</x:v>
      </x:c>
      <x:c r="D71" s="555">
        <x:v>6</x:v>
      </x:c>
      <x:c r="E71" s="555" t="s">
        <x:v>359</x:v>
      </x:c>
      <x:c r="F71" s="554">
        <x:v>35</x:v>
      </x:c>
      <x:c r="G71" s="556">
        <x:v>-1.5</x:v>
      </x:c>
    </x:row>
    <x:row r="72" ht="20" customHeight="1">
      <x:c r="A72" s="552" t="s">
        <x:v>356</x:v>
      </x:c>
      <x:c r="B72" s="553" t="s">
        <x:v>357</x:v>
      </x:c>
      <x:c r="C72" s="554">
        <x:v>77</x:v>
      </x:c>
      <x:c r="D72" s="555">
        <x:v>5</x:v>
      </x:c>
      <x:c r="E72" s="555" t="s">
        <x:v>360</x:v>
      </x:c>
      <x:c r="F72" s="554">
        <x:v>35</x:v>
      </x:c>
      <x:c r="G72" s="556">
        <x:v>-1.5</x:v>
      </x:c>
    </x:row>
    <x:row r="73" ht="20" customHeight="1">
      <x:c r="A73" s="552" t="s">
        <x:v>356</x:v>
      </x:c>
      <x:c r="B73" s="553" t="s">
        <x:v>357</x:v>
      </x:c>
      <x:c r="C73" s="554">
        <x:v>76</x:v>
      </x:c>
      <x:c r="D73" s="555">
        <x:v>5</x:v>
      </x:c>
      <x:c r="E73" s="555" t="s">
        <x:v>361</x:v>
      </x:c>
      <x:c r="F73" s="554">
        <x:v>34</x:v>
      </x:c>
      <x:c r="G73" s="556">
        <x:v>-1.6</x:v>
      </x:c>
    </x:row>
    <x:row r="74" ht="20" customHeight="1">
      <x:c r="A74" s="552" t="s">
        <x:v>356</x:v>
      </x:c>
      <x:c r="B74" s="553" t="s">
        <x:v>357</x:v>
      </x:c>
      <x:c r="C74" s="554">
        <x:v>75</x:v>
      </x:c>
      <x:c r="D74" s="555">
        <x:v>5</x:v>
      </x:c>
      <x:c r="E74" s="555" t="s">
        <x:v>362</x:v>
      </x:c>
      <x:c r="F74" s="554">
        <x:v>33</x:v>
      </x:c>
      <x:c r="G74" s="556">
        <x:v>-1.7</x:v>
      </x:c>
    </x:row>
    <x:row r="75" ht="20" customHeight="1">
      <x:c r="A75" s="552" t="s">
        <x:v>356</x:v>
      </x:c>
      <x:c r="B75" s="553" t="s">
        <x:v>357</x:v>
      </x:c>
      <x:c r="C75" s="554">
        <x:v>74</x:v>
      </x:c>
      <x:c r="D75" s="555">
        <x:v>5</x:v>
      </x:c>
      <x:c r="E75" s="555" t="s">
        <x:v>363</x:v>
      </x:c>
      <x:c r="F75" s="554">
        <x:v>33</x:v>
      </x:c>
      <x:c r="G75" s="556">
        <x:v>-1.7</x:v>
      </x:c>
    </x:row>
    <x:row r="76" ht="20" customHeight="1">
      <x:c r="A76" s="552" t="s">
        <x:v>356</x:v>
      </x:c>
      <x:c r="B76" s="553" t="s">
        <x:v>357</x:v>
      </x:c>
      <x:c r="C76" s="554">
        <x:v>73</x:v>
      </x:c>
      <x:c r="D76" s="555">
        <x:v>5</x:v>
      </x:c>
      <x:c r="E76" s="555" t="s">
        <x:v>364</x:v>
      </x:c>
      <x:c r="F76" s="554">
        <x:v>32</x:v>
      </x:c>
      <x:c r="G76" s="556">
        <x:v>-1.8</x:v>
      </x:c>
    </x:row>
    <x:row r="77" ht="20" customHeight="1">
      <x:c r="A77" s="552" t="s">
        <x:v>356</x:v>
      </x:c>
      <x:c r="B77" s="553" t="s">
        <x:v>357</x:v>
      </x:c>
      <x:c r="C77" s="554">
        <x:v>72</x:v>
      </x:c>
      <x:c r="D77" s="555">
        <x:v>4</x:v>
      </x:c>
      <x:c r="E77" s="555" t="s">
        <x:v>365</x:v>
      </x:c>
      <x:c r="F77" s="554">
        <x:v>31</x:v>
      </x:c>
      <x:c r="G77" s="556">
        <x:v>-1.9</x:v>
      </x:c>
    </x:row>
    <x:row r="78" ht="20" customHeight="1">
      <x:c r="A78" s="557" t="s">
        <x:v>356</x:v>
      </x:c>
      <x:c r="B78" s="558" t="s">
        <x:v>357</x:v>
      </x:c>
      <x:c r="C78" s="559">
        <x:v>71</x:v>
      </x:c>
      <x:c r="D78" s="560">
        <x:v>4</x:v>
      </x:c>
      <x:c r="E78" s="560" t="s">
        <x:v>366</x:v>
      </x:c>
      <x:c r="F78" s="559">
        <x:v>31</x:v>
      </x:c>
      <x:c r="G78" s="561">
        <x:v>-1.9</x:v>
      </x:c>
    </x:row>
    <x:row r="79" ht="20" customHeight="1">
      <x:c r="A79" s="562" t="s">
        <x:v>356</x:v>
      </x:c>
      <x:c r="B79" s="563" t="s">
        <x:v>357</x:v>
      </x:c>
      <x:c r="C79" s="564">
        <x:v>70</x:v>
      </x:c>
      <x:c r="D79" s="565">
        <x:v>4</x:v>
      </x:c>
      <x:c r="E79" s="565" t="s">
        <x:v>367</x:v>
      </x:c>
      <x:c r="F79" s="564">
        <x:v>30</x:v>
      </x:c>
      <x:c r="G79" s="566">
        <x:v>-2</x:v>
      </x:c>
    </x:row>
    <x:row r="80" ht="20" customHeight="1">
      <x:c r="A80" s="567" t="s">
        <x:v>368</x:v>
      </x:c>
      <x:c r="B80" s="568" t="s">
        <x:v>369</x:v>
      </x:c>
      <x:c r="C80" s="569">
        <x:v>69</x:v>
      </x:c>
      <x:c r="D80" s="570">
        <x:v>4</x:v>
      </x:c>
      <x:c r="E80" s="570" t="s">
        <x:v>370</x:v>
      </x:c>
      <x:c r="F80" s="569">
        <x:v>29</x:v>
      </x:c>
      <x:c r="G80" s="571">
        <x:v>-2.1</x:v>
      </x:c>
    </x:row>
    <x:row r="81" ht="20" customHeight="1">
      <x:c r="A81" s="572" t="s">
        <x:v>368</x:v>
      </x:c>
      <x:c r="B81" s="573" t="s">
        <x:v>369</x:v>
      </x:c>
      <x:c r="C81" s="574">
        <x:v>68</x:v>
      </x:c>
      <x:c r="D81" s="575">
        <x:v>4</x:v>
      </x:c>
      <x:c r="E81" s="575" t="s">
        <x:v>371</x:v>
      </x:c>
      <x:c r="F81" s="574">
        <x:v>29</x:v>
      </x:c>
      <x:c r="G81" s="576">
        <x:v>-2.1</x:v>
      </x:c>
    </x:row>
    <x:row r="82" ht="20" customHeight="1">
      <x:c r="A82" s="572" t="s">
        <x:v>368</x:v>
      </x:c>
      <x:c r="B82" s="573" t="s">
        <x:v>369</x:v>
      </x:c>
      <x:c r="C82" s="574">
        <x:v>67</x:v>
      </x:c>
      <x:c r="D82" s="575">
        <x:v>3</x:v>
      </x:c>
      <x:c r="E82" s="575" t="s">
        <x:v>372</x:v>
      </x:c>
      <x:c r="F82" s="574">
        <x:v>28</x:v>
      </x:c>
      <x:c r="G82" s="576">
        <x:v>-2.2000000000000002</x:v>
      </x:c>
    </x:row>
    <x:row r="83" ht="20" customHeight="1">
      <x:c r="A83" s="572" t="s">
        <x:v>368</x:v>
      </x:c>
      <x:c r="B83" s="573" t="s">
        <x:v>369</x:v>
      </x:c>
      <x:c r="C83" s="574">
        <x:v>66</x:v>
      </x:c>
      <x:c r="D83" s="575">
        <x:v>3</x:v>
      </x:c>
      <x:c r="E83" s="575" t="s">
        <x:v>373</x:v>
      </x:c>
      <x:c r="F83" s="574">
        <x:v>27</x:v>
      </x:c>
      <x:c r="G83" s="576">
        <x:v>-2.2999999999999998</x:v>
      </x:c>
    </x:row>
    <x:row r="84" ht="20" customHeight="1">
      <x:c r="A84" s="572" t="s">
        <x:v>368</x:v>
      </x:c>
      <x:c r="B84" s="573" t="s">
        <x:v>369</x:v>
      </x:c>
      <x:c r="C84" s="574">
        <x:v>65</x:v>
      </x:c>
      <x:c r="D84" s="575">
        <x:v>3</x:v>
      </x:c>
      <x:c r="E84" s="575" t="s">
        <x:v>374</x:v>
      </x:c>
      <x:c r="F84" s="574">
        <x:v>27</x:v>
      </x:c>
      <x:c r="G84" s="576">
        <x:v>-2.2999999999999998</x:v>
      </x:c>
    </x:row>
    <x:row r="85" ht="20" customHeight="1">
      <x:c r="A85" s="572" t="s">
        <x:v>368</x:v>
      </x:c>
      <x:c r="B85" s="573" t="s">
        <x:v>369</x:v>
      </x:c>
      <x:c r="C85" s="574">
        <x:v>64</x:v>
      </x:c>
      <x:c r="D85" s="575">
        <x:v>3</x:v>
      </x:c>
      <x:c r="E85" s="575" t="s">
        <x:v>375</x:v>
      </x:c>
      <x:c r="F85" s="574">
        <x:v>26</x:v>
      </x:c>
      <x:c r="G85" s="576">
        <x:v>-2.4</x:v>
      </x:c>
    </x:row>
    <x:row r="86" ht="20" customHeight="1">
      <x:c r="A86" s="572" t="s">
        <x:v>368</x:v>
      </x:c>
      <x:c r="B86" s="573" t="s">
        <x:v>369</x:v>
      </x:c>
      <x:c r="C86" s="574">
        <x:v>63</x:v>
      </x:c>
      <x:c r="D86" s="575">
        <x:v>3</x:v>
      </x:c>
      <x:c r="E86" s="575" t="s">
        <x:v>376</x:v>
      </x:c>
      <x:c r="F86" s="574">
        <x:v>25</x:v>
      </x:c>
      <x:c r="G86" s="576">
        <x:v>-2.5</x:v>
      </x:c>
    </x:row>
    <x:row r="87" ht="20" customHeight="1">
      <x:c r="A87" s="572" t="s">
        <x:v>368</x:v>
      </x:c>
      <x:c r="B87" s="573" t="s">
        <x:v>369</x:v>
      </x:c>
      <x:c r="C87" s="574">
        <x:v>62</x:v>
      </x:c>
      <x:c r="D87" s="575">
        <x:v>2</x:v>
      </x:c>
      <x:c r="E87" s="575" t="s">
        <x:v>377</x:v>
      </x:c>
      <x:c r="F87" s="574">
        <x:v>25</x:v>
      </x:c>
      <x:c r="G87" s="576">
        <x:v>-2.5</x:v>
      </x:c>
    </x:row>
    <x:row r="88" ht="20" customHeight="1">
      <x:c r="A88" s="572" t="s">
        <x:v>368</x:v>
      </x:c>
      <x:c r="B88" s="573" t="s">
        <x:v>369</x:v>
      </x:c>
      <x:c r="C88" s="574">
        <x:v>61</x:v>
      </x:c>
      <x:c r="D88" s="575">
        <x:v>2</x:v>
      </x:c>
      <x:c r="E88" s="575" t="s">
        <x:v>378</x:v>
      </x:c>
      <x:c r="F88" s="574">
        <x:v>24</x:v>
      </x:c>
      <x:c r="G88" s="576">
        <x:v>-2.6</x:v>
      </x:c>
    </x:row>
    <x:row r="89" ht="20" customHeight="1">
      <x:c r="A89" s="572" t="s">
        <x:v>368</x:v>
      </x:c>
      <x:c r="B89" s="573" t="s">
        <x:v>369</x:v>
      </x:c>
      <x:c r="C89" s="574">
        <x:v>60</x:v>
      </x:c>
      <x:c r="D89" s="575">
        <x:v>2</x:v>
      </x:c>
      <x:c r="E89" s="575" t="s">
        <x:v>379</x:v>
      </x:c>
      <x:c r="F89" s="574">
        <x:v>23</x:v>
      </x:c>
      <x:c r="G89" s="576">
        <x:v>-2.7</x:v>
      </x:c>
    </x:row>
    <x:row r="90" ht="20" customHeight="1">
      <x:c r="A90" s="572" t="s">
        <x:v>368</x:v>
      </x:c>
      <x:c r="B90" s="573" t="s">
        <x:v>369</x:v>
      </x:c>
      <x:c r="C90" s="574">
        <x:v>59</x:v>
      </x:c>
      <x:c r="D90" s="575">
        <x:v>2</x:v>
      </x:c>
      <x:c r="E90" s="575" t="s">
        <x:v>380</x:v>
      </x:c>
      <x:c r="F90" s="574">
        <x:v>23</x:v>
      </x:c>
      <x:c r="G90" s="576">
        <x:v>-2.7</x:v>
      </x:c>
    </x:row>
    <x:row r="91" ht="20" customHeight="1">
      <x:c r="A91" s="572" t="s">
        <x:v>368</x:v>
      </x:c>
      <x:c r="B91" s="573" t="s">
        <x:v>369</x:v>
      </x:c>
      <x:c r="C91" s="574">
        <x:v>58</x:v>
      </x:c>
      <x:c r="D91" s="575">
        <x:v>2</x:v>
      </x:c>
      <x:c r="E91" s="575" t="s">
        <x:v>380</x:v>
      </x:c>
      <x:c r="F91" s="574">
        <x:v>22</x:v>
      </x:c>
      <x:c r="G91" s="576">
        <x:v>-2.8</x:v>
      </x:c>
    </x:row>
    <x:row r="92" ht="20" customHeight="1">
      <x:c r="A92" s="572" t="s">
        <x:v>368</x:v>
      </x:c>
      <x:c r="B92" s="573" t="s">
        <x:v>369</x:v>
      </x:c>
      <x:c r="C92" s="574">
        <x:v>57</x:v>
      </x:c>
      <x:c r="D92" s="575">
        <x:v>1</x:v>
      </x:c>
      <x:c r="E92" s="575" t="s">
        <x:v>381</x:v>
      </x:c>
      <x:c r="F92" s="574">
        <x:v>21</x:v>
      </x:c>
      <x:c r="G92" s="576">
        <x:v>-2.9</x:v>
      </x:c>
    </x:row>
    <x:row r="93" ht="20" customHeight="1">
      <x:c r="A93" s="572" t="s">
        <x:v>368</x:v>
      </x:c>
      <x:c r="B93" s="573" t="s">
        <x:v>369</x:v>
      </x:c>
      <x:c r="C93" s="574">
        <x:v>56</x:v>
      </x:c>
      <x:c r="D93" s="575">
        <x:v>1</x:v>
      </x:c>
      <x:c r="E93" s="575" t="s">
        <x:v>381</x:v>
      </x:c>
      <x:c r="F93" s="574">
        <x:v>21</x:v>
      </x:c>
      <x:c r="G93" s="576">
        <x:v>-2.9</x:v>
      </x:c>
    </x:row>
    <x:row r="94" ht="20" customHeight="1">
      <x:c r="A94" s="572" t="s">
        <x:v>368</x:v>
      </x:c>
      <x:c r="B94" s="573" t="s">
        <x:v>369</x:v>
      </x:c>
      <x:c r="C94" s="574">
        <x:v>55</x:v>
      </x:c>
      <x:c r="D94" s="575">
        <x:v>1</x:v>
      </x:c>
      <x:c r="E94" s="575" t="s">
        <x:v>382</x:v>
      </x:c>
      <x:c r="F94" s="574">
        <x:v>20</x:v>
      </x:c>
      <x:c r="G94" s="576">
        <x:v>-3</x:v>
      </x:c>
    </x:row>
    <x:row r="95" ht="20" customHeight="1">
      <x:c r="A95" s="572" t="s">
        <x:v>368</x:v>
      </x:c>
      <x:c r="B95" s="573" t="s">
        <x:v>369</x:v>
      </x:c>
      <x:c r="C95" s="574">
        <x:v>54</x:v>
      </x:c>
      <x:c r="D95" s="575">
        <x:v>1</x:v>
      </x:c>
      <x:c r="E95" s="575" t="s">
        <x:v>382</x:v>
      </x:c>
      <x:c r="F95" s="574">
        <x:v>19</x:v>
      </x:c>
      <x:c r="G95" s="576">
        <x:v>-3.1</x:v>
      </x:c>
    </x:row>
    <x:row r="96" ht="20" customHeight="1">
      <x:c r="A96" s="572" t="s">
        <x:v>368</x:v>
      </x:c>
      <x:c r="B96" s="573" t="s">
        <x:v>369</x:v>
      </x:c>
      <x:c r="C96" s="574">
        <x:v>53</x:v>
      </x:c>
      <x:c r="D96" s="575">
        <x:v>1</x:v>
      </x:c>
      <x:c r="E96" s="575" t="s">
        <x:v>382</x:v>
      </x:c>
      <x:c r="F96" s="574">
        <x:v>19</x:v>
      </x:c>
      <x:c r="G96" s="576">
        <x:v>-3.1</x:v>
      </x:c>
    </x:row>
    <x:row r="97" ht="20" customHeight="1">
      <x:c r="A97" s="572" t="s">
        <x:v>368</x:v>
      </x:c>
      <x:c r="B97" s="573" t="s">
        <x:v>369</x:v>
      </x:c>
      <x:c r="C97" s="574">
        <x:v>52</x:v>
      </x:c>
      <x:c r="D97" s="575" t="s">
        <x:v>383</x:v>
      </x:c>
      <x:c r="E97" s="575" t="s">
        <x:v>382</x:v>
      </x:c>
      <x:c r="F97" s="574">
        <x:v>18</x:v>
      </x:c>
      <x:c r="G97" s="576">
        <x:v>-3.2</x:v>
      </x:c>
    </x:row>
    <x:row r="98" ht="20" customHeight="1">
      <x:c r="A98" s="577" t="s">
        <x:v>368</x:v>
      </x:c>
      <x:c r="B98" s="578" t="s">
        <x:v>369</x:v>
      </x:c>
      <x:c r="C98" s="579">
        <x:v>51</x:v>
      </x:c>
      <x:c r="D98" s="580" t="s">
        <x:v>383</x:v>
      </x:c>
      <x:c r="E98" s="580" t="s">
        <x:v>382</x:v>
      </x:c>
      <x:c r="F98" s="579">
        <x:v>17</x:v>
      </x:c>
      <x:c r="G98" s="581">
        <x:v>-3.3</x:v>
      </x:c>
    </x:row>
    <x:row r="99" ht="20" customHeight="1">
      <x:c r="A99" s="582" t="s">
        <x:v>368</x:v>
      </x:c>
      <x:c r="B99" s="583" t="s">
        <x:v>369</x:v>
      </x:c>
      <x:c r="C99" s="584">
        <x:v>50</x:v>
      </x:c>
      <x:c r="D99" s="585" t="s">
        <x:v>383</x:v>
      </x:c>
      <x:c r="E99" s="585" t="s">
        <x:v>384</x:v>
      </x:c>
      <x:c r="F99" s="584">
        <x:v>17</x:v>
      </x:c>
      <x:c r="G99" s="586">
        <x:v>-3.3</x:v>
      </x:c>
    </x:row>
    <x:row r="100" ht="20" customHeight="1">
      <x:c r="A100" s="587" t="s">
        <x:v>368</x:v>
      </x:c>
      <x:c r="B100" s="588" t="s">
        <x:v>385</x:v>
      </x:c>
      <x:c r="C100" s="589">
        <x:v>49</x:v>
      </x:c>
      <x:c r="D100" s="590" t="s">
        <x:v>383</x:v>
      </x:c>
      <x:c r="E100" s="590" t="s">
        <x:v>384</x:v>
      </x:c>
      <x:c r="F100" s="589">
        <x:v>16</x:v>
      </x:c>
      <x:c r="G100" s="591">
        <x:v>-3.4</x:v>
      </x:c>
    </x:row>
    <x:row r="101" ht="20" customHeight="1">
      <x:c r="A101" s="592" t="s">
        <x:v>368</x:v>
      </x:c>
      <x:c r="B101" s="593" t="s">
        <x:v>385</x:v>
      </x:c>
      <x:c r="C101" s="594">
        <x:v>48</x:v>
      </x:c>
      <x:c r="D101" s="595" t="s">
        <x:v>383</x:v>
      </x:c>
      <x:c r="E101" s="595" t="s">
        <x:v>384</x:v>
      </x:c>
      <x:c r="F101" s="594">
        <x:v>15</x:v>
      </x:c>
      <x:c r="G101" s="596">
        <x:v>-3.5</x:v>
      </x:c>
    </x:row>
    <x:row r="102" ht="20" customHeight="1">
      <x:c r="A102" s="592" t="s">
        <x:v>368</x:v>
      </x:c>
      <x:c r="B102" s="593" t="s">
        <x:v>385</x:v>
      </x:c>
      <x:c r="C102" s="594">
        <x:v>47</x:v>
      </x:c>
      <x:c r="D102" s="595" t="s">
        <x:v>383</x:v>
      </x:c>
      <x:c r="E102" s="595" t="s">
        <x:v>384</x:v>
      </x:c>
      <x:c r="F102" s="594">
        <x:v>15</x:v>
      </x:c>
      <x:c r="G102" s="596">
        <x:v>-3.5</x:v>
      </x:c>
    </x:row>
    <x:row r="103" ht="20" customHeight="1">
      <x:c r="A103" s="592" t="s">
        <x:v>368</x:v>
      </x:c>
      <x:c r="B103" s="593" t="s">
        <x:v>385</x:v>
      </x:c>
      <x:c r="C103" s="594">
        <x:v>46</x:v>
      </x:c>
      <x:c r="D103" s="595" t="s">
        <x:v>383</x:v>
      </x:c>
      <x:c r="E103" s="595" t="s">
        <x:v>384</x:v>
      </x:c>
      <x:c r="F103" s="594">
        <x:v>14</x:v>
      </x:c>
      <x:c r="G103" s="596">
        <x:v>-3.6</x:v>
      </x:c>
    </x:row>
    <x:row r="104" ht="20" customHeight="1">
      <x:c r="A104" s="592" t="s">
        <x:v>368</x:v>
      </x:c>
      <x:c r="B104" s="593" t="s">
        <x:v>385</x:v>
      </x:c>
      <x:c r="C104" s="594">
        <x:v>45</x:v>
      </x:c>
      <x:c r="D104" s="595" t="s">
        <x:v>383</x:v>
      </x:c>
      <x:c r="E104" s="595" t="s">
        <x:v>384</x:v>
      </x:c>
      <x:c r="F104" s="594">
        <x:v>13</x:v>
      </x:c>
      <x:c r="G104" s="596">
        <x:v>-3.7</x:v>
      </x:c>
    </x:row>
    <x:row r="105" ht="20" customHeight="1">
      <x:c r="A105" s="592" t="s">
        <x:v>368</x:v>
      </x:c>
      <x:c r="B105" s="593" t="s">
        <x:v>385</x:v>
      </x:c>
      <x:c r="C105" s="594">
        <x:v>44</x:v>
      </x:c>
      <x:c r="D105" s="595" t="s">
        <x:v>383</x:v>
      </x:c>
      <x:c r="E105" s="595" t="s">
        <x:v>384</x:v>
      </x:c>
      <x:c r="F105" s="594">
        <x:v>13</x:v>
      </x:c>
      <x:c r="G105" s="596">
        <x:v>-3.7</x:v>
      </x:c>
    </x:row>
    <x:row r="106" ht="20" customHeight="1">
      <x:c r="A106" s="592" t="s">
        <x:v>368</x:v>
      </x:c>
      <x:c r="B106" s="593" t="s">
        <x:v>385</x:v>
      </x:c>
      <x:c r="C106" s="594">
        <x:v>43</x:v>
      </x:c>
      <x:c r="D106" s="595" t="s">
        <x:v>383</x:v>
      </x:c>
      <x:c r="E106" s="595" t="s">
        <x:v>384</x:v>
      </x:c>
      <x:c r="F106" s="594">
        <x:v>12</x:v>
      </x:c>
      <x:c r="G106" s="596">
        <x:v>-3.8</x:v>
      </x:c>
    </x:row>
    <x:row r="107" ht="20" customHeight="1">
      <x:c r="A107" s="592" t="s">
        <x:v>368</x:v>
      </x:c>
      <x:c r="B107" s="593" t="s">
        <x:v>385</x:v>
      </x:c>
      <x:c r="C107" s="594">
        <x:v>42</x:v>
      </x:c>
      <x:c r="D107" s="595" t="s">
        <x:v>383</x:v>
      </x:c>
      <x:c r="E107" s="595" t="s">
        <x:v>384</x:v>
      </x:c>
      <x:c r="F107" s="594">
        <x:v>11</x:v>
      </x:c>
      <x:c r="G107" s="596">
        <x:v>-3.9</x:v>
      </x:c>
    </x:row>
    <x:row r="108" ht="20" customHeight="1">
      <x:c r="A108" s="597" t="s">
        <x:v>368</x:v>
      </x:c>
      <x:c r="B108" s="598" t="s">
        <x:v>385</x:v>
      </x:c>
      <x:c r="C108" s="599">
        <x:v>41</x:v>
      </x:c>
      <x:c r="D108" s="600" t="s">
        <x:v>383</x:v>
      </x:c>
      <x:c r="E108" s="600" t="s">
        <x:v>384</x:v>
      </x:c>
      <x:c r="F108" s="599">
        <x:v>11</x:v>
      </x:c>
      <x:c r="G108" s="601">
        <x:v>-3.9</x:v>
      </x:c>
    </x:row>
    <x:row r="109" ht="20" customHeight="1">
      <x:c r="A109" s="602" t="s">
        <x:v>368</x:v>
      </x:c>
      <x:c r="B109" s="603" t="s">
        <x:v>385</x:v>
      </x:c>
      <x:c r="C109" s="604">
        <x:v>40</x:v>
      </x:c>
      <x:c r="D109" s="605" t="s">
        <x:v>383</x:v>
      </x:c>
      <x:c r="E109" s="605" t="s">
        <x:v>384</x:v>
      </x:c>
      <x:c r="F109" s="604">
        <x:v>10</x:v>
      </x:c>
      <x:c r="G109" s="606">
        <x:v>-4</x:v>
      </x:c>
    </x:row>
    <x:row r="110" ht="20" customHeight="1">
      <x:c r="A110" s="607" t="s">
        <x:v>368</x:v>
      </x:c>
      <x:c r="B110" s="608" t="s">
        <x:v>385</x:v>
      </x:c>
      <x:c r="C110" s="609" t="s">
        <x:v>386</x:v>
      </x:c>
      <x:c r="D110" s="610"/>
      <x:c r="E110" s="610"/>
      <x:c r="F110" s="610"/>
      <x:c r="G110" s="611"/>
    </x:row>
    <x:row r="111" ht="20" customHeight="1">
      <x:c r="A111" s="612" t="s">
        <x:v>368</x:v>
      </x:c>
      <x:c r="B111" s="613" t="s">
        <x:v>385</x:v>
      </x:c>
      <x:c r="C111" s="614" t="s">
        <x:v>387</x:v>
      </x:c>
      <x:c r="D111" s="615"/>
      <x:c r="E111" s="615"/>
      <x:c r="F111" s="615"/>
      <x:c r="G111" s="616"/>
    </x:row>
    <x:row r="112" ht="20" customHeight="1">
      <x:c r="A112" s="612" t="s">
        <x:v>368</x:v>
      </x:c>
      <x:c r="B112" s="613" t="s">
        <x:v>385</x:v>
      </x:c>
      <x:c r="C112" s="614" t="s">
        <x:v>388</x:v>
      </x:c>
      <x:c r="D112" s="615"/>
      <x:c r="E112" s="615"/>
      <x:c r="F112" s="615"/>
      <x:c r="G112" s="616"/>
    </x:row>
    <x:row r="113" ht="20" customHeight="1">
      <x:c r="A113" s="617" t="s">
        <x:v>368</x:v>
      </x:c>
      <x:c r="B113" s="618" t="s">
        <x:v>385</x:v>
      </x:c>
      <x:c r="C113" s="619" t="s">
        <x:v>389</x:v>
      </x:c>
      <x:c r="D113" s="620"/>
      <x:c r="E113" s="620"/>
      <x:c r="F113" s="620"/>
      <x:c r="G113" s="621"/>
    </x:row>
    <x:row r="114" ht="20" customHeight="1">
      <x:c r="A114" s="622" t="s">
        <x:v>368</x:v>
      </x:c>
      <x:c r="B114" s="623" t="s">
        <x:v>385</x:v>
      </x:c>
      <x:c r="C114" s="624" t="s">
        <x:v>390</x:v>
      </x:c>
      <x:c r="D114" s="625"/>
      <x:c r="E114" s="625"/>
      <x:c r="F114" s="625"/>
      <x:c r="G114" s="626"/>
    </x:row>
    <x:row r="115" ht="20" customHeight="1">
      <x:c r="A115" s="627" t="s">
        <x:v>368</x:v>
      </x:c>
      <x:c r="B115" s="628" t="s">
        <x:v>391</x:v>
      </x:c>
      <x:c r="C115" s="629" t="s">
        <x:v>392</x:v>
      </x:c>
      <x:c r="D115" s="630"/>
      <x:c r="E115" s="630"/>
      <x:c r="F115" s="630"/>
      <x:c r="G115" s="631"/>
    </x:row>
    <x:row r="116" ht="20" customHeight="1">
      <x:c r="A116" s="632" t="s">
        <x:v>368</x:v>
      </x:c>
      <x:c r="B116" s="633" t="s">
        <x:v>391</x:v>
      </x:c>
      <x:c r="C116" s="634" t="s">
        <x:v>393</x:v>
      </x:c>
      <x:c r="D116" s="635"/>
      <x:c r="E116" s="635"/>
      <x:c r="F116" s="635"/>
      <x:c r="G116" s="636"/>
    </x:row>
    <x:row r="117" ht="20" customHeight="1">
      <x:c r="A117" s="632" t="s">
        <x:v>368</x:v>
      </x:c>
      <x:c r="B117" s="633" t="s">
        <x:v>391</x:v>
      </x:c>
      <x:c r="C117" s="634" t="s">
        <x:v>394</x:v>
      </x:c>
      <x:c r="D117" s="635"/>
      <x:c r="E117" s="635"/>
      <x:c r="F117" s="635"/>
      <x:c r="G117" s="636"/>
    </x:row>
    <x:row r="118" ht="20" customHeight="1">
      <x:c r="A118" s="632" t="s">
        <x:v>368</x:v>
      </x:c>
      <x:c r="B118" s="633" t="s">
        <x:v>391</x:v>
      </x:c>
      <x:c r="C118" s="634" t="s">
        <x:v>395</x:v>
      </x:c>
      <x:c r="D118" s="635"/>
      <x:c r="E118" s="635"/>
      <x:c r="F118" s="635"/>
      <x:c r="G118" s="636"/>
    </x:row>
    <x:row r="119" ht="20" customHeight="1">
      <x:c r="A119" s="632" t="s">
        <x:v>368</x:v>
      </x:c>
      <x:c r="B119" s="633" t="s">
        <x:v>391</x:v>
      </x:c>
      <x:c r="C119" s="634" t="s">
        <x:v>396</x:v>
      </x:c>
      <x:c r="D119" s="635"/>
      <x:c r="E119" s="635"/>
      <x:c r="F119" s="635"/>
      <x:c r="G119" s="636"/>
    </x:row>
    <x:row r="120" ht="20" customHeight="1">
      <x:c r="A120" s="632" t="s">
        <x:v>368</x:v>
      </x:c>
      <x:c r="B120" s="633" t="s">
        <x:v>391</x:v>
      </x:c>
      <x:c r="C120" s="634" t="s">
        <x:v>397</x:v>
      </x:c>
      <x:c r="D120" s="635"/>
      <x:c r="E120" s="635"/>
      <x:c r="F120" s="635"/>
      <x:c r="G120" s="636"/>
    </x:row>
    <x:row r="121" ht="20" customHeight="1">
      <x:c r="A121" s="632" t="s">
        <x:v>368</x:v>
      </x:c>
      <x:c r="B121" s="633" t="s">
        <x:v>391</x:v>
      </x:c>
      <x:c r="C121" s="634" t="s">
        <x:v>398</x:v>
      </x:c>
      <x:c r="D121" s="635"/>
      <x:c r="E121" s="635"/>
      <x:c r="F121" s="635"/>
      <x:c r="G121" s="636"/>
    </x:row>
    <x:row r="122" ht="20" customHeight="1">
      <x:c r="A122" s="632" t="s">
        <x:v>368</x:v>
      </x:c>
      <x:c r="B122" s="633" t="s">
        <x:v>391</x:v>
      </x:c>
      <x:c r="C122" s="634" t="s">
        <x:v>399</x:v>
      </x:c>
      <x:c r="D122" s="635"/>
      <x:c r="E122" s="635"/>
      <x:c r="F122" s="635"/>
      <x:c r="G122" s="636"/>
    </x:row>
    <x:row r="123" ht="20" customHeight="1">
      <x:c r="A123" s="632" t="s">
        <x:v>368</x:v>
      </x:c>
      <x:c r="B123" s="633" t="s">
        <x:v>391</x:v>
      </x:c>
      <x:c r="C123" s="634" t="s">
        <x:v>400</x:v>
      </x:c>
      <x:c r="D123" s="635"/>
      <x:c r="E123" s="635"/>
      <x:c r="F123" s="635"/>
      <x:c r="G123" s="636"/>
    </x:row>
    <x:row r="124" ht="20" customHeight="1">
      <x:c r="A124" s="632" t="s">
        <x:v>368</x:v>
      </x:c>
      <x:c r="B124" s="633" t="s">
        <x:v>391</x:v>
      </x:c>
      <x:c r="C124" s="634" t="s">
        <x:v>401</x:v>
      </x:c>
      <x:c r="D124" s="635"/>
      <x:c r="E124" s="635"/>
      <x:c r="F124" s="635"/>
      <x:c r="G124" s="636"/>
    </x:row>
    <x:row r="125" ht="20" customHeight="1">
      <x:c r="A125" s="632" t="s">
        <x:v>368</x:v>
      </x:c>
      <x:c r="B125" s="633" t="s">
        <x:v>391</x:v>
      </x:c>
      <x:c r="C125" s="634" t="s">
        <x:v>402</x:v>
      </x:c>
      <x:c r="D125" s="635"/>
      <x:c r="E125" s="635"/>
      <x:c r="F125" s="635"/>
      <x:c r="G125" s="636"/>
    </x:row>
    <x:row r="126" ht="20" customHeight="1">
      <x:c r="A126" s="632" t="s">
        <x:v>368</x:v>
      </x:c>
      <x:c r="B126" s="633" t="s">
        <x:v>391</x:v>
      </x:c>
      <x:c r="C126" s="634" t="s">
        <x:v>403</x:v>
      </x:c>
      <x:c r="D126" s="635"/>
      <x:c r="E126" s="635"/>
      <x:c r="F126" s="635"/>
      <x:c r="G126" s="636"/>
    </x:row>
    <x:row r="127" ht="20" customHeight="1">
      <x:c r="A127" s="632" t="s">
        <x:v>368</x:v>
      </x:c>
      <x:c r="B127" s="633" t="s">
        <x:v>391</x:v>
      </x:c>
      <x:c r="C127" s="634" t="s">
        <x:v>404</x:v>
      </x:c>
      <x:c r="D127" s="635"/>
      <x:c r="E127" s="635"/>
      <x:c r="F127" s="635"/>
      <x:c r="G127" s="636"/>
    </x:row>
    <x:row r="128" ht="20" customHeight="1">
      <x:c r="A128" s="637" t="s">
        <x:v>368</x:v>
      </x:c>
      <x:c r="B128" s="638" t="s">
        <x:v>391</x:v>
      </x:c>
      <x:c r="C128" s="639" t="s">
        <x:v>405</x:v>
      </x:c>
      <x:c r="D128" s="640"/>
      <x:c r="E128" s="640"/>
      <x:c r="F128" s="640"/>
      <x:c r="G128" s="641"/>
    </x:row>
    <x:row r="129" ht="20" customHeight="1">
      <x:c r="A129" s="642" t="s">
        <x:v>368</x:v>
      </x:c>
      <x:c r="B129" s="643" t="s">
        <x:v>391</x:v>
      </x:c>
      <x:c r="C129" s="644" t="s">
        <x:v>406</x:v>
      </x:c>
      <x:c r="D129" s="645"/>
      <x:c r="E129" s="645"/>
      <x:c r="F129" s="645"/>
      <x:c r="G129" s="646"/>
    </x:row>
    <x:row r="130" ht="20" customHeight="1">
      <x:c r="A130" s="647" t="s">
        <x:v>368</x:v>
      </x:c>
      <x:c r="B130" s="648" t="s">
        <x:v>407</x:v>
      </x:c>
      <x:c r="C130" s="649" t="s">
        <x:v>408</x:v>
      </x:c>
      <x:c r="D130" s="650"/>
      <x:c r="E130" s="650"/>
      <x:c r="F130" s="650"/>
      <x:c r="G130" s="651"/>
    </x:row>
    <x:row r="131" ht="20" customHeight="1">
      <x:c r="A131" s="652" t="s">
        <x:v>368</x:v>
      </x:c>
      <x:c r="B131" s="653" t="s">
        <x:v>407</x:v>
      </x:c>
      <x:c r="C131" s="654" t="s">
        <x:v>409</x:v>
      </x:c>
      <x:c r="D131" s="655"/>
      <x:c r="E131" s="655"/>
      <x:c r="F131" s="655"/>
      <x:c r="G131" s="656"/>
    </x:row>
    <x:row r="132" ht="20" customHeight="1">
      <x:c r="A132" s="652" t="s">
        <x:v>368</x:v>
      </x:c>
      <x:c r="B132" s="653" t="s">
        <x:v>407</x:v>
      </x:c>
      <x:c r="C132" s="654" t="s">
        <x:v>410</x:v>
      </x:c>
      <x:c r="D132" s="655"/>
      <x:c r="E132" s="655"/>
      <x:c r="F132" s="655"/>
      <x:c r="G132" s="656"/>
    </x:row>
    <x:row r="133" ht="20" customHeight="1">
      <x:c r="A133" s="652" t="s">
        <x:v>368</x:v>
      </x:c>
      <x:c r="B133" s="653" t="s">
        <x:v>407</x:v>
      </x:c>
      <x:c r="C133" s="654" t="s">
        <x:v>411</x:v>
      </x:c>
      <x:c r="D133" s="655"/>
      <x:c r="E133" s="655"/>
      <x:c r="F133" s="655"/>
      <x:c r="G133" s="656"/>
    </x:row>
    <x:row r="134" ht="20" customHeight="1">
      <x:c r="A134" s="652" t="s">
        <x:v>368</x:v>
      </x:c>
      <x:c r="B134" s="653" t="s">
        <x:v>407</x:v>
      </x:c>
      <x:c r="C134" s="654" t="s">
        <x:v>412</x:v>
      </x:c>
      <x:c r="D134" s="655"/>
      <x:c r="E134" s="655"/>
      <x:c r="F134" s="655"/>
      <x:c r="G134" s="656"/>
    </x:row>
    <x:row r="135" ht="20" customHeight="1">
      <x:c r="A135" s="652" t="s">
        <x:v>368</x:v>
      </x:c>
      <x:c r="B135" s="653" t="s">
        <x:v>407</x:v>
      </x:c>
      <x:c r="C135" s="654" t="s">
        <x:v>413</x:v>
      </x:c>
      <x:c r="D135" s="655"/>
      <x:c r="E135" s="655"/>
      <x:c r="F135" s="655"/>
      <x:c r="G135" s="656"/>
    </x:row>
    <x:row r="136" ht="20" customHeight="1">
      <x:c r="A136" s="652" t="s">
        <x:v>368</x:v>
      </x:c>
      <x:c r="B136" s="653" t="s">
        <x:v>407</x:v>
      </x:c>
      <x:c r="C136" s="654" t="s">
        <x:v>414</x:v>
      </x:c>
      <x:c r="D136" s="655"/>
      <x:c r="E136" s="655"/>
      <x:c r="F136" s="655"/>
      <x:c r="G136" s="656"/>
    </x:row>
    <x:row r="137" ht="20" customHeight="1">
      <x:c r="A137" s="657" t="s">
        <x:v>368</x:v>
      </x:c>
      <x:c r="B137" s="658" t="s">
        <x:v>407</x:v>
      </x:c>
      <x:c r="C137" s="659" t="s">
        <x:v>415</x:v>
      </x:c>
      <x:c r="D137" s="660"/>
      <x:c r="E137" s="660"/>
      <x:c r="F137" s="660"/>
      <x:c r="G137" s="661"/>
    </x:row>
    <x:row r="138">
      <x:c r="A138" s="1"/>
      <x:c r="B138" s="1"/>
      <x:c r="C138" s="1"/>
      <x:c r="D138" s="1"/>
      <x:c r="E138" s="1"/>
      <x:c r="F138" s="1"/>
      <x:c r="G138" s="1"/>
    </x:row>
  </x:sheetData>
  <x:mergeCells>
    <x:mergeCell ref="A1:G1"/>
  </x:mergeCells>
  <x:pageMargins left="0.7" right="0.7" top="0.75" bottom="0.75" header="0.3" footer="0.3"/>
</x:worksheet>
</file>

<file path=xl/worksheets/sheet3.xml><?xml version="1.0" encoding="utf-8"?>
<x:worksheet xmlns:x="http://schemas.openxmlformats.org/spreadsheetml/2006/main">
  <x:sheetPr>
    <x:tabColor rgb="FF1F4E78"/>
  </x:sheetPr>
  <x:sheetViews>
    <x:sheetView showGridLines="0" workbookViewId="0"/>
  </x:sheetViews>
  <x:sheetFormatPr baseColWidth="10" defaultColWidth="8.83203125" defaultRowHeight="16"/>
  <x:cols>
    <x:col min="1" max="1" width="81.6640625" customWidth="1"/>
    <x:col min="2" max="2" width="255" customWidth="1"/>
    <x:col min="3" max="3" width="5.6640625" customWidth="1"/>
    <x:col min="4" max="4" width="10.6640625" customWidth="1"/>
    <x:col min="5" max="5" width="13.83203125" customWidth="1"/>
    <x:col min="6" max="6" width="26.1640625" customWidth="1"/>
    <x:col min="7" max="7" width="19.1640625" customWidth="1"/>
    <x:col min="8" max="8" width="41.6640625" customWidth="1"/>
    <x:col min="9" max="9" width="29.1640625" customWidth="1"/>
    <x:col min="10" max="10" width="3" customWidth="1"/>
    <x:col min="11" max="11" width="29.1640625" customWidth="1"/>
    <x:col min="12" max="12" width="3" customWidth="1"/>
    <x:col min="13" max="13" width="29.1640625" customWidth="1"/>
    <x:col min="14" max="14" width="3" customWidth="1"/>
    <x:col min="15" max="15" width="29.1640625" customWidth="1"/>
    <x:col min="16" max="16" width="3" customWidth="1"/>
    <x:col min="18" max="18" width="0" hidden="1" customWidth="1"/>
  </x:cols>
  <x:sheetData>
    <x:row r="1" ht="18">
      <x:c r="A1" s="327" t="s">
        <x:v>416</x:v>
      </x:c>
      <x:c r="B1" s="326"/>
      <x:c r="C1" s="326"/>
      <x:c r="D1" s="326"/>
      <x:c r="E1" s="326"/>
      <x:c r="F1" s="347"/>
    </x:row>
    <x:row r="2">
      <x:c r="A2" s="346" t="s">
        <x:v>417</x:v>
      </x:c>
      <x:c r="B2" s="345"/>
      <x:c r="C2" s="345"/>
      <x:c r="D2" s="345"/>
      <x:c r="E2" s="345"/>
      <x:c r="F2" s="344"/>
    </x:row>
    <x:row r="3">
      <x:c r="A3" s="263"/>
      <x:c r="B3" s="263"/>
      <x:c r="C3" s="263"/>
      <x:c r="D3" s="263"/>
      <x:c r="E3" s="263"/>
      <x:c r="F3" s="263"/>
    </x:row>
    <x:row r="4">
      <x:c r="A4" s="312" t="s">
        <x:v>418</x:v>
      </x:c>
      <x:c r="B4" s="313" t="str">
        <x:f>'Tableau de scores'!C3</x:f>
        <x:v>Mme Gingras</x:v>
      </x:c>
      <x:c r="C4" s="263"/>
      <x:c r="D4" s="312" t="s">
        <x:v>419</x:v>
      </x:c>
      <x:c r="E4" s="314">
        <x:f>'Tableau de scores'!C4</x:f>
        <x:v>46100</x:v>
      </x:c>
      <x:c r="F4" s="263"/>
    </x:row>
    <x:row r="5" ht="30">
      <x:c r="A5" s="341" t="s">
        <x:v>420</x:v>
      </x:c>
      <x:c r="B5" s="339" t="str" cm="1">
        <x:f t="array" ref="B5">_xlfn.LET(_xlpm.sourceRows,'Repère visuel client'!$A$9:$A$90,_xlpm.domains,'Repère visuel client'!$B$9:$B$90,_xlpm.name,'Tableau de scores'!$C$3,_xlpm.topMask,ISNUMBER(MATCH(_xlpm.sourceRows,{12;14;19;31;25;34;39;40;53;54;55;68;69;72;73;87;92;93;108},0)),_xlpm.interps,IF(_xlpm.sourceRows="","",LOWER(INDEX('Tableau de scores'!$J:$J,_xlpm.sourceRows))),_xlpm.levels,IFERROR(_xlfn.XMATCH(_xlpm.interps,{"extrêmement faible";"limite";"moyenne faible";"moyenne";"moyenne élevée";"supérieur";"très supérieur"}),0),_xlpm.mask,_xlpm.topMask*(_xlpm.levels&gt;0),_xlpm.nPos,SUM(--(_xlpm.mask*(_xlpm.levels&gt;=5))),_xlpm.nNeg,SUM(--(_xlpm.mask*(_xlpm.levels&lt;=3))),_xlpm.posList,IF(_xlpm.nPos=0,"",_xlfn.TEXTJOIN(", ",TRUE,INDEX(_xlfn.SORTBY(_xlfn._xlws.FILTER(_xlpm.domains,_xlpm.mask*(_xlpm.levels&gt;=5)),_xlfn._xlws.FILTER(_xlpm.levels,_xlpm.mask*(_xlpm.levels&gt;=5)),-1),_xlfn.SEQUENCE(MIN(2,_xlpm.nPos),1)))),_xlpm.negList,IF(_xlpm.nNeg=0,"",_xlfn.TEXTJOIN(", ",TRUE,INDEX(_xlfn.SORTBY(_xlfn._xlws.FILTER(_xlpm.domains,_xlpm.mask*(_xlpm.levels&lt;=3)),_xlfn._xlws.FILTER(_xlpm.levels,_xlpm.mask*(_xlpm.levels&lt;=3)),1),_xlfn.SEQUENCE(MIN(2,_xlpm.nNeg),1)))),IF(AND(_xlpm.posList="",_xlpm.negList=""),"Les données disponibles sont insuffisantes pour dégager une synthèse clinique d’ensemble.","Le profil de "&amp;_xlpm.name&amp;" repose désormais sur les interprétations directes du Tableau de scores. "&amp;IF(_xlpm.posList&lt;&gt;"","Les principaux appuis concernent surtout "&amp;_xlpm.posList&amp;". ","")&amp;IF(_xlpm.negList&lt;&gt;"","Les zones de vigilance concernent surtout "&amp;_xlpm.negList&amp;". ","")&amp;"Aucune moyenne intertests ni aucun score synthétique n’est utilisé."))</x:f>
        <x:v>Le profil de Mme Gingras repose désormais sur les interprétations directes du Tableau de scores. Les principaux appuis concernent surtout Inhibition de réponse / résistance à l’interférence, Accès sémantique. Les zones de vigilance concernent surtout Mémoire visuospatiale différée, Organisation visuoconstructive / planification. Aucune moyenne intertests ni aucun score synthétique n’est utilisé.</x:v>
      </x:c>
      <x:c r="C5" s="343"/>
      <x:c r="D5" s="305"/>
      <x:c r="E5" s="305"/>
      <x:c r="F5" s="342"/>
    </x:row>
    <x:row r="6">
      <x:c r="A6" s="341" t="s">
        <x:v>421</x:v>
      </x:c>
      <x:c r="B6" s="339" t="str" cm="1">
        <x:f t="array" ref="B6">_xlfn.LET(_xlpm.sourceRows,'Repère visuel client'!$A$9:$A$90,_xlpm.domains,'Repère visuel client'!$B$9:$B$90,_xlpm.topMask,ISNUMBER(MATCH(_xlpm.sourceRows,{12;14;19;31;25;34;39;40;53;54;55;68;69;72;73;87;92;93;108},0)),_xlpm.interps,IF(_xlpm.sourceRows="","",LOWER(INDEX('Tableau de scores'!$J:$J,_xlpm.sourceRows))),_xlpm.levels,IFERROR(_xlfn.XMATCH(_xlpm.interps,{"extrêmement faible";"limite";"moyenne faible";"moyenne";"moyenne élevée";"supérieur";"très supérieur"}),0),_xlpm.mask,_xlpm.topMask*(_xlpm.levels&gt;0),_xlpm.nPos,SUM(--(_xlpm.mask*(_xlpm.levels&gt;=5))),_xlpm.posList,IF(_xlpm.nPos=0,"",_xlfn.TEXTJOIN(", ",TRUE,INDEX(_xlfn.SORTBY(_xlfn._xlws.FILTER(_xlpm.domains,_xlpm.mask*(_xlpm.levels&gt;=5)),_xlfn._xlws.FILTER(_xlpm.levels,_xlpm.mask*(_xlpm.levels&gt;=5)),-1),_xlfn.SEQUENCE(MIN(2,_xlpm.nPos),1)))),IF(_xlpm.nPos=0,"Aucun domaine ne se dégage nettement comme appui relatif à ce stade à partir des interprétations directes retenues.","Les principaux appuis relatifs concernent surtout "&amp;_xlpm.posList&amp;". Ils correspondent aux mesures et indices directs les plus favorables du profil."))</x:f>
        <x:v>Les principaux appuis relatifs concernent surtout Inhibition de réponse / résistance à l’interférence, Accès sémantique. Ils correspondent aux mesures et indices directs les plus favorables du profil.</x:v>
      </x:c>
      <x:c r="C6" s="305"/>
      <x:c r="D6" s="305"/>
      <x:c r="E6" s="305"/>
      <x:c r="F6" s="338"/>
    </x:row>
    <x:row r="7">
      <x:c r="A7" s="340" t="s">
        <x:v>422</x:v>
      </x:c>
      <x:c r="B7" s="339" t="str" cm="1">
        <x:f t="array" ref="B7">_xlfn.LET(_xlpm.sourceRows,'Repère visuel client'!$A$9:$A$90,_xlpm.domains,'Repère visuel client'!$B$9:$B$90,_xlpm.topMask,ISNUMBER(MATCH(_xlpm.sourceRows,{12;14;19;31;25;34;39;40;53;54;55;68;69;72;73;87;92;93;108},0)),_xlpm.interps,IF(_xlpm.sourceRows="","",LOWER(INDEX('Tableau de scores'!$J:$J,_xlpm.sourceRows))),_xlpm.levels,IFERROR(_xlfn.XMATCH(_xlpm.interps,{"extrêmement faible";"limite";"moyenne faible";"moyenne";"moyenne élevée";"supérieur";"très supérieur"}),0),_xlpm.mask,_xlpm.topMask*(_xlpm.levels&gt;0),_xlpm.nNeg,SUM(--(_xlpm.mask*(_xlpm.levels&lt;=3))),_xlpm.negList,IF(_xlpm.nNeg=0,"",_xlfn.TEXTJOIN(", ",TRUE,INDEX(_xlfn.SORTBY(_xlfn._xlws.FILTER(_xlpm.domains,_xlpm.mask*(_xlpm.levels&lt;=3)),_xlfn._xlws.FILTER(_xlpm.levels,_xlpm.mask*(_xlpm.levels&lt;=3)),1),_xlfn.SEQUENCE(MIN(2,_xlpm.nNeg),1)))),IF(_xlpm.nNeg=0,"Aucune zone de fragilité relative ne se dégage nettement à ce stade à partir des interprétations directes retenues.","Les principales zones de vigilance concernent surtout "&amp;_xlpm.negList&amp;". Elles correspondent aux mesures et indices directs les plus fragiles du profil."))</x:f>
        <x:v>Les principales zones de vigilance concernent surtout Mémoire visuospatiale différée, Organisation visuoconstructive / planification. Elles correspondent aux mesures et indices directs les plus fragiles du profil.</x:v>
      </x:c>
      <x:c r="C7" s="305"/>
      <x:c r="D7" s="305"/>
      <x:c r="E7" s="305"/>
      <x:c r="F7" s="338"/>
    </x:row>
    <x:row r="8">
      <x:c r="A8" s="337" t="s">
        <x:v>423</x:v>
      </x:c>
      <x:c r="B8" s="336" t="s">
        <x:v>424</x:v>
      </x:c>
      <x:c r="C8" s="335"/>
      <x:c r="D8" s="335"/>
      <x:c r="E8" s="335"/>
      <x:c r="F8" s="334"/>
    </x:row>
    <x:row r="9" ht="31">
      <x:c r="A9" s="333" t="s">
        <x:v>425</x:v>
      </x:c>
      <x:c r="B9" s="332" t="s">
        <x:v>426</x:v>
      </x:c>
      <x:c r="C9" s="332" t="s">
        <x:v>427</x:v>
      </x:c>
      <x:c r="D9" s="332" t="s">
        <x:v>428</x:v>
      </x:c>
      <x:c r="E9" s="332" t="s">
        <x:v>276</x:v>
      </x:c>
      <x:c r="F9" s="331" t="s">
        <x:v>277</x:v>
      </x:c>
    </x:row>
    <x:row r="10" ht="32">
      <x:c r="A10" s="280" t="s">
        <x:v>429</x:v>
      </x:c>
      <x:c r="B10" s="276" t="s">
        <x:v>430</x:v>
      </x:c>
      <x:c r="C10" s="284">
        <x:f>'Tableau de scores'!E12</x:f>
        <x:v>111</x:v>
      </x:c>
      <x:c r="D10" s="285">
        <x:f>IF(LEFT('Tableau de scores'!K12,1)="&lt;",VALUE(SUBSTITUTE(SUBSTITUTE(RIGHT('Tableau de scores'!K12,LEN('Tableau de scores'!K12)-1),"e",""),",",".")),IF(ISNUMBER(SEARCH("er",'Tableau de scores'!K12)),1,VALUE(SUBSTITUTE(SUBSTITUTE('Tableau de scores'!K12,"e",""),",","."))))</x:f>
        <x:v>76.8</x:v>
      </x:c>
      <x:c r="E10" s="276" t="str">
        <x:f>'Tableau de scores'!J12</x:f>
        <x:v>moyenne élevée</x:v>
      </x:c>
      <x:c r="F10" s="306" t="str" cm="1">
        <x:f t="array" ref="F10">IF(E10="","",_xlfn.SWITCH(E10,"très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faible",E10))</x:f>
        <x:v>rendement au-dessus de la moyenne</x:v>
      </x:c>
    </x:row>
    <x:row r="11" ht="32">
      <x:c r="A11" s="281" t="s">
        <x:v>27</x:v>
      </x:c>
      <x:c r="B11" s="277" t="s">
        <x:v>431</x:v>
      </x:c>
      <x:c r="C11" s="286">
        <x:f>'Tableau de scores'!E14</x:f>
        <x:v>117</x:v>
      </x:c>
      <x:c r="D11" s="287">
        <x:f>IF(LEFT('Tableau de scores'!K14,1)="&lt;",VALUE(SUBSTITUTE(SUBSTITUTE(RIGHT('Tableau de scores'!K14,LEN('Tableau de scores'!K14)-1),"e",""),",",".")),IF(ISNUMBER(SEARCH("er",'Tableau de scores'!K14)),1,VALUE(SUBSTITUTE(SUBSTITUTE('Tableau de scores'!K14,"e",""),",","."))))</x:f>
        <x:v>87.1</x:v>
      </x:c>
      <x:c r="E11" s="277" t="str">
        <x:f>'Tableau de scores'!J14</x:f>
        <x:v>moyenne élevée</x:v>
      </x:c>
      <x:c r="F11" s="306" t="str" cm="1">
        <x:f t="array" ref="F11">IF(E11="","",_xlfn.SWITCH(E11,"très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faible",E11))</x:f>
        <x:v>rendement au-dessus de la moyenne</x:v>
      </x:c>
    </x:row>
    <x:row r="12">
      <x:c r="A12" s="280" t="s">
        <x:v>432</x:v>
      </x:c>
      <x:c r="B12" s="276" t="s">
        <x:v>433</x:v>
      </x:c>
      <x:c r="C12" s="284">
        <x:f>'Tableau de scores'!E19</x:f>
        <x:v>102</x:v>
      </x:c>
      <x:c r="D12" s="285">
        <x:f>IF(LEFT('Tableau de scores'!K19,1)="&lt;",VALUE(SUBSTITUTE(SUBSTITUTE(RIGHT('Tableau de scores'!K19,LEN('Tableau de scores'!K19)-1),"e",""),",",".")),IF(ISNUMBER(SEARCH("er",'Tableau de scores'!K19)),1,VALUE(SUBSTITUTE(SUBSTITUTE('Tableau de scores'!K19,"e",""),",","."))))</x:f>
        <x:v>55.3</x:v>
      </x:c>
      <x:c r="E12" s="276" t="str">
        <x:f>'Tableau de scores'!J19</x:f>
        <x:v>moyenne</x:v>
      </x:c>
      <x:c r="F12" s="306" t="str" cm="1">
        <x:f t="array" ref="F12">IF(E12="","",_xlfn.SWITCH(E12,"très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faible",E12))</x:f>
        <x:v>rendement dans la moyenne</x:v>
      </x:c>
    </x:row>
    <x:row r="13">
      <x:c r="A13" s="281" t="s">
        <x:v>44</x:v>
      </x:c>
      <x:c r="B13" s="277" t="s">
        <x:v>434</x:v>
      </x:c>
      <x:c r="C13" s="286">
        <x:f>'Tableau de scores'!E24</x:f>
        <x:v>105</x:v>
      </x:c>
      <x:c r="D13" s="287">
        <x:f>IF(LEFT('Tableau de scores'!K24,1)="&lt;",VALUE(SUBSTITUTE(SUBSTITUTE(RIGHT('Tableau de scores'!K24,LEN('Tableau de scores'!K24)-1),"e",""),",",".")),IF(ISNUMBER(SEARCH("er",'Tableau de scores'!K24)),1,VALUE(SUBSTITUTE(SUBSTITUTE('Tableau de scores'!K24,"e",""),",","."))))</x:f>
        <x:v>63.1</x:v>
      </x:c>
      <x:c r="E13" s="277" t="str">
        <x:f>'Tableau de scores'!J24</x:f>
        <x:v>moyenne</x:v>
      </x:c>
      <x:c r="F13" s="306" t="str" cm="1">
        <x:f t="array" ref="F13">IF(E13="","",_xlfn.SWITCH(E13,"très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faible",E13))</x:f>
        <x:v>rendement dans la moyenne</x:v>
      </x:c>
    </x:row>
    <x:row r="14">
      <x:c r="A14" s="280" t="s">
        <x:v>56</x:v>
      </x:c>
      <x:c r="B14" s="276" t="s">
        <x:v>435</x:v>
      </x:c>
      <x:c r="C14" s="284">
        <x:f>'Tableau de scores'!E31</x:f>
        <x:v>109</x:v>
      </x:c>
      <x:c r="D14" s="285">
        <x:f>IF(LEFT('Tableau de scores'!K31,1)="&lt;",VALUE(SUBSTITUTE(SUBSTITUTE(RIGHT('Tableau de scores'!K31,LEN('Tableau de scores'!K31)-1),"e",""),",",".")),IF(ISNUMBER(SEARCH("er",'Tableau de scores'!K31)),1,VALUE(SUBSTITUTE(SUBSTITUTE('Tableau de scores'!K31,"e",""),",","."))))</x:f>
        <x:v>72.599999999999994</x:v>
      </x:c>
      <x:c r="E14" s="276" t="str">
        <x:f>'Tableau de scores'!J31</x:f>
        <x:v>moyenne</x:v>
      </x:c>
      <x:c r="F14" s="306" t="str" cm="1">
        <x:f t="array" ref="F14">IF(E14="","",_xlfn.SWITCH(E14,"très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faible",E14))</x:f>
        <x:v>rendement dans la moyenne</x:v>
      </x:c>
    </x:row>
    <x:row r="15">
      <x:c r="A15" s="281" t="s">
        <x:v>436</x:v>
      </x:c>
      <x:c r="B15" s="277" t="s">
        <x:v>437</x:v>
      </x:c>
      <x:c r="C15" s="286" t="str">
        <x:f>'Tableau de scores'!E53</x:f>
        <x:v>2-5</x:v>
      </x:c>
      <x:c r="D15" s="287" t="str">
        <x:f>'Tableau de scores'!K53</x:f>
        <x:v>2,0e à 5,0e</x:v>
      </x:c>
      <x:c r="E15" s="277" t="str">
        <x:f>'Tableau de scores'!J53</x:f>
        <x:v>limite</x:v>
      </x:c>
      <x:c r="F15" s="306" t="str" cm="1">
        <x:f t="array" ref="F15">IF(E15="","",_xlfn.SWITCH(E15,"très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faible",E15))</x:f>
        <x:v>rendement limite</x:v>
      </x:c>
    </x:row>
    <x:row r="16" ht="32">
      <x:c r="A16" s="280" t="s">
        <x:v>438</x:v>
      </x:c>
      <x:c r="B16" s="276" t="s">
        <x:v>439</x:v>
      </x:c>
      <x:c r="C16" s="284">
        <x:f>'Tableau de scores'!E55</x:f>
        <x:v>29</x:v>
      </x:c>
      <x:c r="D16" s="285">
        <x:f>IF(LEFT('Tableau de scores'!K55,1)="&lt;",VALUE(SUBSTITUTE(SUBSTITUTE(RIGHT('Tableau de scores'!K55,LEN('Tableau de scores'!K55)-1),"e",""),",",".")),IF(ISNUMBER(SEARCH("er",'Tableau de scores'!K55)),1,VALUE(SUBSTITUTE(SUBSTITUTE('Tableau de scores'!K55,"e",""),",","."))))</x:f>
        <x:v>1.8</x:v>
      </x:c>
      <x:c r="E16" s="276" t="str">
        <x:f>'Tableau de scores'!J55</x:f>
        <x:v>extrêmement faible</x:v>
      </x:c>
      <x:c r="F16" s="306" t="str" cm="1">
        <x:f t="array" ref="F16">IF(E16="","",_xlfn.SWITCH(E16,"très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faible",E16))</x:f>
        <x:v>rendement extrêmement faible</x:v>
      </x:c>
    </x:row>
    <x:row r="17">
      <x:c r="A17" s="281" t="s">
        <x:v>68</x:v>
      </x:c>
      <x:c r="B17" s="277" t="s">
        <x:v>440</x:v>
      </x:c>
      <x:c r="C17" s="286">
        <x:f>'Tableau de scores'!E41</x:f>
        <x:v>5</x:v>
      </x:c>
      <x:c r="D17" s="287">
        <x:f>IF(LEFT('Tableau de scores'!K41,1)="&lt;",VALUE(SUBSTITUTE(SUBSTITUTE(RIGHT('Tableau de scores'!K41,LEN('Tableau de scores'!K41)-1),"e",""),",",".")),IF(ISNUMBER(SEARCH("er",'Tableau de scores'!K41)),1,VALUE(SUBSTITUTE(SUBSTITUTE('Tableau de scores'!K41,"e",""),",","."))))</x:f>
        <x:v>5</x:v>
      </x:c>
      <x:c r="E17" s="277" t="str">
        <x:f>'Tableau de scores'!J41</x:f>
        <x:v>limite</x:v>
      </x:c>
      <x:c r="F17" s="306" t="str" cm="1">
        <x:f t="array" ref="F17">IF(E17="","",_xlfn.SWITCH(E17,"très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faible",E17))</x:f>
        <x:v>rendement limite</x:v>
      </x:c>
    </x:row>
    <x:row r="18">
      <x:c r="A18" s="282" t="s">
        <x:v>123</x:v>
      </x:c>
      <x:c r="B18" s="278" t="s">
        <x:v>441</x:v>
      </x:c>
      <x:c r="C18" s="288">
        <x:f>'Tableau de scores'!E61</x:f>
        <x:v>46</x:v>
      </x:c>
      <x:c r="D18" s="289">
        <x:f>IF(LEFT('Tableau de scores'!K61,1)="&lt;",VALUE(SUBSTITUTE(SUBSTITUTE(RIGHT('Tableau de scores'!K61,LEN('Tableau de scores'!K61)-1),"e",""),",",".")),IF(ISNUMBER(SEARCH("er",'Tableau de scores'!K61)),1,VALUE(SUBSTITUTE(SUBSTITUTE('Tableau de scores'!K61,"e",""),",","."))))</x:f>
        <x:v>34.5</x:v>
      </x:c>
      <x:c r="E18" s="278" t="str">
        <x:f>'Tableau de scores'!J61</x:f>
        <x:v>moyenne</x:v>
      </x:c>
      <x:c r="F18" s="306" t="str" cm="1">
        <x:f t="array" ref="F18">IF(E18="","",_xlfn.SWITCH(E18,"très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faible",E18))</x:f>
        <x:v>rendement dans la moyenne</x:v>
      </x:c>
    </x:row>
    <x:row r="19">
      <x:c r="A19" s="283" t="s">
        <x:v>68</x:v>
      </x:c>
      <x:c r="B19" s="279" t="s">
        <x:v>442</x:v>
      </x:c>
      <x:c r="C19" s="290">
        <x:f>'Tableau de scores'!E48</x:f>
        <x:v>4</x:v>
      </x:c>
      <x:c r="D19" s="291">
        <x:f>IF(LEFT('Tableau de scores'!K48,1)="&lt;",VALUE(SUBSTITUTE(SUBSTITUTE(RIGHT('Tableau de scores'!K48,LEN('Tableau de scores'!K48)-1),"e",""),",",".")),IF(ISNUMBER(SEARCH("er",'Tableau de scores'!K48)),1,VALUE(SUBSTITUTE(SUBSTITUTE('Tableau de scores'!K48,"e",""),",","."))))</x:f>
        <x:v>2.2999999999999998</x:v>
      </x:c>
      <x:c r="E19" s="279" t="str">
        <x:f>'Tableau de scores'!J48</x:f>
        <x:v>limite</x:v>
      </x:c>
      <x:c r="F19" s="306" t="str" cm="1">
        <x:f t="array" ref="F19">IF(E19="","",_xlfn.SWITCH(E19,"très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faible",E19))</x:f>
        <x:v>rendement limite</x:v>
      </x:c>
    </x:row>
    <x:row r="20">
      <x:c r="A20" s="280" t="s">
        <x:v>443</x:v>
      </x:c>
      <x:c r="B20" s="276" t="s">
        <x:v>444</x:v>
      </x:c>
      <x:c r="C20" s="284">
        <x:f>'Tableau de scores'!E72</x:f>
        <x:v>16</x:v>
      </x:c>
      <x:c r="D20" s="285">
        <x:f>IF(LEFT('Tableau de scores'!K72,1)="&lt;",VALUE(SUBSTITUTE(SUBSTITUTE(RIGHT('Tableau de scores'!K72,LEN('Tableau de scores'!K72)-1),"e",""),",",".")),IF(ISNUMBER(SEARCH("er",'Tableau de scores'!K72)),1,VALUE(SUBSTITUTE(SUBSTITUTE('Tableau de scores'!K72,"e",""),",","."))))</x:f>
        <x:v>97.7</x:v>
      </x:c>
      <x:c r="E20" s="276" t="str">
        <x:f>'Tableau de scores'!J72</x:f>
        <x:v>très supérieur</x:v>
      </x:c>
      <x:c r="F20" s="306" t="str" cm="1">
        <x:f t="array" ref="F20">IF(E20="","",_xlfn.SWITCH(E20,"très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faible",E20))</x:f>
        <x:v>rendement très supérieur</x:v>
      </x:c>
    </x:row>
    <x:row r="21">
      <x:c r="A21" s="281" t="s">
        <x:v>445</x:v>
      </x:c>
      <x:c r="B21" s="277" t="s">
        <x:v>446</x:v>
      </x:c>
      <x:c r="C21" s="286">
        <x:f>'Tableau de scores'!E79</x:f>
        <x:v>14</x:v>
      </x:c>
      <x:c r="D21" s="287">
        <x:f>IF(LEFT('Tableau de scores'!K79,1)="&lt;",VALUE(SUBSTITUTE(SUBSTITUTE(RIGHT('Tableau de scores'!K79,LEN('Tableau de scores'!K79)-1),"e",""),",",".")),IF(ISNUMBER(SEARCH("er",'Tableau de scores'!K79)),1,VALUE(SUBSTITUTE(SUBSTITUTE('Tableau de scores'!K79,"e",""),",","."))))</x:f>
        <x:v>90.9</x:v>
      </x:c>
      <x:c r="E21" s="277" t="str">
        <x:f>'Tableau de scores'!J79</x:f>
        <x:v>supérieur</x:v>
      </x:c>
      <x:c r="F21" s="306" t="str" cm="1">
        <x:f t="array" ref="F21">IF(E21="","",_xlfn.SWITCH(E21,"très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faible",E21))</x:f>
        <x:v>rendement supérieur</x:v>
      </x:c>
    </x:row>
    <x:row r="22">
      <x:c r="A22" s="282" t="s">
        <x:v>447</x:v>
      </x:c>
      <x:c r="B22" s="278" t="s">
        <x:v>448</x:v>
      </x:c>
      <x:c r="C22" s="288">
        <x:f>'Tableau de scores'!E93</x:f>
        <x:v>16</x:v>
      </x:c>
      <x:c r="D22" s="289">
        <x:f>IF(LEFT('Tableau de scores'!K93,1)="&lt;",VALUE(SUBSTITUTE(SUBSTITUTE(RIGHT('Tableau de scores'!K93,LEN('Tableau de scores'!K93)-1),"e",""),",",".")),IF(ISNUMBER(SEARCH("er",'Tableau de scores'!K93)),1,VALUE(SUBSTITUTE(SUBSTITUTE('Tableau de scores'!K93,"e",""),",","."))))</x:f>
        <x:v>97.7</x:v>
      </x:c>
      <x:c r="E22" s="278" t="str">
        <x:f>'Tableau de scores'!J93</x:f>
        <x:v>très supérieur</x:v>
      </x:c>
      <x:c r="F22" s="306" t="str" cm="1">
        <x:f t="array" ref="F22">IF(E22="","",_xlfn.SWITCH(E22,"très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faible",E22))</x:f>
        <x:v>rendement très supérieur</x:v>
      </x:c>
    </x:row>
    <x:row r="23">
      <x:c r="A23" s="283" t="s">
        <x:v>449</x:v>
      </x:c>
      <x:c r="B23" s="279" t="s">
        <x:v>450</x:v>
      </x:c>
      <x:c r="C23" s="290">
        <x:f>'Tableau de scores'!E108</x:f>
        <x:v>8</x:v>
      </x:c>
      <x:c r="D23" s="291">
        <x:f>IF(LEFT('Tableau de scores'!K108,1)="&lt;",VALUE(SUBSTITUTE(SUBSTITUTE(RIGHT('Tableau de scores'!K108,LEN('Tableau de scores'!K108)-1),"e",""),",",".")),IF(ISNUMBER(SEARCH("er",'Tableau de scores'!K108)),1,VALUE(SUBSTITUTE(SUBSTITUTE('Tableau de scores'!K108,"e",""),",","."))))</x:f>
        <x:v>25.2</x:v>
      </x:c>
      <x:c r="E23" s="279" t="str">
        <x:f>'Tableau de scores'!J108</x:f>
        <x:v>moyenne</x:v>
      </x:c>
      <x:c r="F23" s="306" t="str" cm="1">
        <x:f t="array" ref="F23">IF(E23="","",_xlfn.SWITCH(E23,"très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faible",E23))</x:f>
        <x:v>rendement dans la moyenne</x:v>
      </x:c>
    </x:row>
    <x:row r="24">
      <x:c r="A24" s="280" t="s">
        <x:v>451</x:v>
      </x:c>
      <x:c r="B24" s="276" t="s">
        <x:v>452</x:v>
      </x:c>
      <x:c r="C24" s="284">
        <x:f>'Tableau de scores'!E87</x:f>
        <x:v>76</x:v>
      </x:c>
      <x:c r="D24" s="285">
        <x:f>IF(LEFT('Tableau de scores'!K87,1)="&lt;",VALUE(SUBSTITUTE(SUBSTITUTE(RIGHT('Tableau de scores'!K87,LEN('Tableau de scores'!K87)-1),"e",""),",",".")),IF(ISNUMBER(SEARCH("er",'Tableau de scores'!K87)),1,VALUE(SUBSTITUTE(SUBSTITUTE('Tableau de scores'!K87,"e",""),",","."))))</x:f>
        <x:v>5.5</x:v>
      </x:c>
      <x:c r="E24" s="276" t="str">
        <x:f>'Tableau de scores'!J87</x:f>
        <x:v>limite</x:v>
      </x:c>
      <x:c r="F24" s="306" t="str" cm="1">
        <x:f t="array" ref="F24">IF(E24="","",_xlfn.SWITCH(E24,"très supérieur","rendement très supérieur","supérieur","rendement supérieur","moyenne élevée","rendement au-dessus de la moyenne","moyenne","rendement dans la moyenne","moyenne faible","rendement légèrement sous la moyenne","limite à moyenne faible","rendement entre limite et moyenne faible","limite","rendement limite","extrêmement faible","rendement extrêmement faible",E24))</x:f>
        <x:v>rendement limite</x:v>
      </x:c>
    </x:row>
    <x:row r="25" ht="33">
      <x:c r="A25" s="265" t="s">
        <x:v>453</x:v>
      </x:c>
      <x:c r="B25" s="266" t="str">
        <x:f>_xlfn.LET(_xlpm.stateCat,'Tableau de scores'!$J$120,_xlpm.traitCat,'Tableau de scores'!$J$121,IF(AND(_xlpm.stateCat="",_xlpm.traitCat=""),"Les scores IASTA décrivent des symptômes anxieux auto-rapportés d’état et de trait. Des scores plus élevés traduisent davantage d’anxiété; ils doivent être distingués des performances cognitives et ne sont pas à classer parmi les forces du profil.",IF(AND(_xlpm.stateCat&lt;&gt;"",_xlpm.traitCat&lt;&gt;""),"Les scores IASTA décrivent des symptômes anxieux auto-rapportés d’état et de trait. Dans ce dossier, les symptômes d’état se situent dans la catégorie "&amp;_xlpm.stateCat&amp;" et les symptômes de trait dans la catégorie "&amp;_xlpm.traitCat&amp;". Des scores plus élevés traduisent davantage d’anxiété; ils doivent être distingués des performances cognitives et ne sont pas à classer parmi les forces du profil.","Les scores IASTA décrivent des symptômes anxieux auto-rapportés d’état et de trait. Des scores plus élevés traduisent davantage d’anxiété; ils doivent être distingués des performances cognitives et ne sont pas à classer parmi les forces du profil.")))</x:f>
        <x:v>Les scores IASTA décrivent des symptômes anxieux auto-rapportés d’état et de trait. Dans ce dossier, les symptômes d’état se situent dans la catégorie moyenne élevée et les symptômes de trait dans la catégorie moyenne élevée. Des scores plus élevés traduisent davantage d’anxiété; ils doivent être distingués des performances cognitives et ne sont pas à classer parmi les forces du profil.</x:v>
      </x:c>
      <x:c r="C25" s="267"/>
      <x:c r="D25" s="267"/>
      <x:c r="E25" s="267"/>
      <x:c r="F25" s="268"/>
    </x:row>
    <x:row r="26" ht="17">
      <x:c r="A26" s="330" t="s">
        <x:v>454</x:v>
      </x:c>
      <x:c r="B26" s="329"/>
      <x:c r="C26" s="329"/>
      <x:c r="D26" s="329"/>
      <x:c r="E26" s="329"/>
      <x:c r="F26" s="328"/>
    </x:row>
    <x:row r="27">
      <x:c r="A27" s="293" t="s">
        <x:v>264</x:v>
      </x:c>
      <x:c r="B27" s="307"/>
      <x:c r="C27" s="295"/>
      <x:c r="D27" s="295"/>
      <x:c r="E27" s="295"/>
      <x:c r="F27" s="295"/>
    </x:row>
    <x:row r="28" ht="48">
      <x:c r="A28" s="269"/>
      <x:c r="B28" s="276" t="str">
        <x:f>_xlfn.LET(_xlpm.name,'Tableau de scores'!$C$3,_xlpm.qitCat,'Tableau de scores'!$J$12,_xlpm.icvCat,'Tableau de scores'!$J$14,_xlpm.irpCat,'Tableau de scores'!$J$19,_xlpm.imtCat,'Tableau de scores'!$J$24,_xlpm.ivtCat,'Tableau de scores'!$J$31,_xlpm.stdTxt,IF(_xlpm.qitCat="","",_xlfn.XLOOKUP(_xlpm.qitCat,Standards!$A$4:$A$137,Standards!$B$4:$B$137,"")),_xlpm.overallTxt,IF(_xlpm.qitCat="moyenne élevée","Chez "&amp;_xlpm.name&amp;", le rendement intellectuel global relève de la moyenne élevée, ce qui correspond au descripteur clinique « "&amp;LOWER(_xlpm.stdTxt)&amp;" ».",IF(_xlpm.qitCat="moyenne","Chez "&amp;_xlpm.name&amp;", le rendement intellectuel global relève de la moyenne.",IF(_xlpm.qitCat="moyenne faible","Chez "&amp;_xlpm.name&amp;", le rendement intellectuel global relève de la moyenne faible.",IF(_xlpm.qitCat="","","Chez "&amp;_xlpm.name&amp;", le rendement intellectuel global se situe dans la catégorie "&amp;_xlpm.qitCat&amp;IF(_xlpm.stdTxt&lt;&gt;"",", ce qui correspond au descripteur clinique « "&amp;LOWER(_xlpm.stdTxt)&amp;" »","")&amp;".")))),_xlpm.profileTxt,IF(AND(_xlpm.icvCat="moyenne élevée",_xlpm.irpCat="moyenne",_xlpm.imtCat="moyenne",_xlpm.ivtCat="moyenne"),"Sur le plan intellectuel, la compréhension verbale apparaît en moyenne élevée, alors que le raisonnement non verbal, la mémoire de travail et la vitesse de traitement se maintiennent dans la moyenne.",_xlfn.TEXTJOIN(" ",TRUE,IF(_xlpm.icvCat="","","La compréhension verbale se situe dans la catégorie "&amp;_xlpm.icvCat&amp;"."),IF(_xlpm.irpCat="","","Le raisonnement non verbal se situe dans la catégorie "&amp;_xlpm.irpCat&amp;"."),IF(_xlpm.imtCat="","","La mémoire de travail se situe dans la catégorie "&amp;_xlpm.imtCat&amp;"."),IF(_xlpm.ivtCat="","","La vitesse de traitement se situe dans la catégorie "&amp;_xlpm.ivtCat&amp;"."))),_xlfn.TEXTJOIN(" ",TRUE,"Le fonctionnement intellectuel réfère à l’efficience cognitive générale mobilisée pour comprendre une situation, raisonner, maintenir l’information utile en mémoire de travail et traiter efficacement l’information.","Il a été évalué à partir d’indices composites de compréhension verbale, de raisonnement non verbal, de mémoire de travail et de vitesse de traitement.",_xlpm.overallTxt,_xlpm.profileTxt))</x:f>
        <x:v>Le fonctionnement intellectuel réfère à l’efficience cognitive générale mobilisée pour comprendre une situation, raisonner, maintenir l’information utile en mémoire de travail et traiter efficacement l’information. Il a été évalué à partir d’indices composites de compréhension verbale, de raisonnement non verbal, de mémoire de travail et de vitesse de traitement. Chez Mme Gingras, le rendement intellectuel global relève de la moyenne élevée, ce qui correspond au descripteur clinique « intelligence vive ». Sur le plan intellectuel, la compréhension verbale apparaît en moyenne élevée, alors que le raisonnement non verbal, la mémoire de travail et la vitesse de traitement se maintiennent dans la moyenne.</x:v>
      </x:c>
      <x:c r="C28" s="263"/>
      <x:c r="D28" s="263"/>
      <x:c r="E28" s="263"/>
      <x:c r="F28" s="264"/>
    </x:row>
    <x:row r="29">
      <x:c r="A29" s="292" t="s">
        <x:v>455</x:v>
      </x:c>
      <x:c r="B29" s="295"/>
      <x:c r="C29" s="295"/>
      <x:c r="D29" s="295"/>
      <x:c r="E29" s="295"/>
      <x:c r="F29" s="295"/>
    </x:row>
    <x:row r="30" ht="48">
      <x:c r="A30" s="269"/>
      <x:c r="B30" s="276" t="str">
        <x:f>_xlfn.LET(_xlpm.name,'Tableau de scores'!$C$3,_xlpm.irpCat,'Tableau de scores'!$J$19,_xlpm.blockCat,'Tableau de scores'!$J$20,_xlpm.matCat,'Tableau de scores'!$J$21,_xlpm.puzzleCat,'Tableau de scores'!$J$22,_xlpm.copyCat,'Tableau de scores'!$J$53,_xlpm.timeCat,'Tableau de scores'!$J$57,_xlpm.overallTxt,IF(OR(_xlpm.irpCat="moyenne",_xlpm.irpCat="moyenne élevée",_xlpm.irpCat="moyenne faible"),"Chez "&amp;_xlpm.name&amp;", ce versant relève de la "&amp;_xlpm.irpCat&amp;".",IF(_xlpm.irpCat="","","Chez "&amp;_xlpm.name&amp;", ce versant se situe dans la catégorie "&amp;_xlpm.irpCat&amp;".")),_xlpm.detail1,IF(AND(_xlpm.blockCat="moyenne faible",_xlpm.matCat="moyenne élevée",_xlpm.puzzleCat="moyenne élevée"),"La construction visuoconstructive ressort dans la catégorie moyenne faible, alors que le raisonnement non verbal et la rotation mentale se maintiennent dans la moyenne élevée.",IF(AND(_xlpm.blockCat&lt;&gt;"",_xlpm.matCat&lt;&gt;"",_xlpm.puzzleCat&lt;&gt;""),"La construction visuoconstructive se situe dans la catégorie "&amp;_xlpm.blockCat&amp;", tandis que le raisonnement non verbal et la rotation mentale se situent dans les catégories "&amp;_xlpm.matCat&amp;" et "&amp;_xlpm.puzzleCat&amp;".",_xlfn.TEXTJOIN(" ",TRUE,IF(_xlpm.blockCat="","","La construction visuoconstructive se situe dans la catégorie "&amp;_xlpm.blockCat&amp;"."),IF(_xlpm.matCat="","","Le raisonnement non verbal se situe dans la catégorie "&amp;_xlpm.matCat&amp;"."),IF(_xlpm.puzzleCat="","","La rotation mentale se situe dans la catégorie "&amp;_xlpm.puzzleCat&amp;".")))),_xlpm.detail2,IF(AND(_xlpm.copyCat=_xlpm.timeCat,_xlpm.copyCat&lt;&gt;""),"En copie de figure complexe, l’organisation visuoconstructive et la vitesse d’exécution se situent toutes deux dans la catégorie "&amp;_xlpm.copyCat&amp;".",IF(AND(_xlpm.copyCat&lt;&gt;"",_xlpm.timeCat&lt;&gt;""),"La copie d’une figure complexe se situe dans les catégories "&amp;_xlpm.copyCat&amp;" pour l’organisation visuoconstructive et "&amp;_xlpm.timeCat&amp;" pour la vitesse d’exécution.",_xlfn.TEXTJOIN(" ",TRUE,IF(_xlpm.copyCat="","","L’organisation visuoconstructive en copie se situe dans la catégorie "&amp;_xlpm.copyCat&amp;"."),IF(_xlpm.timeCat="","","La vitesse d’exécution en copie se situe dans la catégorie "&amp;_xlpm.timeCat&amp;".")))),_xlpm.copyLow,OR(ISNUMBER(SEARCH("faible",LOWER(_xlpm.copyCat))),ISNUMBER(SEARCH("limite",LOWER(_xlpm.copyCat))),ISNUMBER(SEARCH("faible",LOWER(_xlpm.timeCat))),ISNUMBER(SEARCH("limite",LOWER(_xlpm.timeCat)))),_xlpm.summaryTxt,IF(_xlpm.copyLow,"Chez "&amp;_xlpm.name&amp;", les tâches qui exigent davantage d’organisation visuoconstructive paraissent plus coûteuses que celles qui reposent surtout sur le raisonnement non verbal.","L’ensemble paraît cohérent d’une tâche à l’autre."),_xlfn.TEXTJOIN(" ",TRUE,"Les fonctions visuo-spatiales réfèrent à la capacité d’analyser les formes, de percevoir les relations spatiales et de manipuler mentalement l’information visuelle.","Elles ont été évaluées à l’aide de tâches de construction, de raisonnement non verbal, de rotation mentale et d’organisation visuoconstructive.",_xlpm.overallTxt,_xlpm.detail1,_xlpm.detail2,_xlpm.summaryTxt))</x:f>
        <x:v>Les fonctions visuo-spatiales réfèrent à la capacité d’analyser les formes, de percevoir les relations spatiales et de manipuler mentalement l’information visuelle. Elles ont été évaluées à l’aide de tâches de construction, de raisonnement non verbal, de rotation mentale et d’organisation visuoconstructive. Chez Mme Gingras, ce versant relève de la moyenne. La construction visuoconstructive ressort dans la catégorie moyenne faible, alors que le raisonnement non verbal et la rotation mentale se maintiennent dans la moyenne élevée. En copie de figure complexe, l’organisation visuoconstructive et la vitesse d’exécution se situent toutes deux dans la catégorie limite. Chez Mme Gingras, les tâches qui exigent davantage d’organisation visuoconstructive paraissent plus coûteuses que celles qui reposent surtout sur le raisonnement non verbal.</x:v>
      </x:c>
      <x:c r="C30" s="263"/>
      <x:c r="D30" s="263"/>
      <x:c r="E30" s="263"/>
      <x:c r="F30" s="264"/>
    </x:row>
    <x:row r="31">
      <x:c r="A31" s="292" t="s">
        <x:v>456</x:v>
      </x:c>
      <x:c r="B31" s="295"/>
      <x:c r="C31" s="295"/>
      <x:c r="D31" s="295"/>
      <x:c r="E31" s="295"/>
      <x:c r="F31" s="295"/>
    </x:row>
    <x:row r="32" ht="48">
      <x:c r="A32" s="269"/>
      <x:c r="B32" s="276" t="str" cm="1">
        <x:f t="array" ref="B32">_xlfn.LET(_xlpm.name,'Tableau de scores'!$C$3,_xlpm.styleScore,'Tableau de scores'!$E$60,_xlpm.omScore,'Tableau de scores'!$E$62,_xlpm.comScore,'Tableau de scores'!$E$63,_xlpm.perScore,'Tableau de scores'!$E$64,_xlpm.hrtScore,'Tableau de scores'!$E$65,_xlpm.ivtCat,'Tableau de scores'!$J$31,_xlpm.codeCat,'Tableau de scores'!$J$32,_xlpm.symCat,'Tableau de scores'!$J$33,_xlpm.lvl,_xlfn.LAMBDA(_xlpm.cat,_xlfn.IFS(_xlpm.cat="","",_xlpm.cat="moyenne","dans la moyenne",_xlpm.cat="moyenne élevée","en moyenne élevée",_xlpm.cat="moyenne faible","en moyenne faible",_xlpm.cat="limite","dans la zone limite",_xlpm.cat="extrêmement faible","dans la zone extrêmement faible",TRUE,"à un niveau "&amp;_xlpm.cat)),_xlpm.styleTxt,IF(_xlpm.styleScore&lt;=40,"Chez "&amp;_xlpm.name&amp;", le style de réponse est plutôt libéral et privilégie la vitesse à l’exactitude.",IF(_xlpm.styleScore&gt;=60,"Chez "&amp;_xlpm.name&amp;", le style de réponse est plutôt conservateur et privilégie l’exactitude au détriment de la rapidité.","Chez "&amp;_xlpm.name&amp;", le style de réponse apparaît globalement équilibré entre vitesse et exactitude.")),_xlpm.omTxt,IF(_xlpm.omScore&lt;45,"Les omissions sont peu nombreuses, ce qui n’appuie pas une inattention marquée sur ce type de tâche.",IF(_xlpm.omScore&gt;=60,"Les omissions sont plus nombreuses qu’attendu, ce qui peut évoquer une vulnérabilité attentionnelle dans ce contexte.","Le nombre d’omissions demeure dans la moyenne.")),_xlpm.comTxt,IF(_xlpm.comScore&gt;=60,"Le taux de réponses aux non-cibles est plus élevé qu’attendu, ce qui peut refléter un contrôle de réponse plus fragile.","Le taux de réponses aux non-cibles demeure dans la moyenne."),_xlpm.perTxt,IF(_xlpm.perScore&gt;=60,"Les réponses anticipées ou répétitives sont plus nombreuses qu’attendu, ce qui peut évoquer une impulsivité motrice accrue.","Les réponses anticipées ou répétitives demeurent dans la moyenne."),_xlpm.hrtTxt,IF(_xlpm.hrtScore&lt;40,"La vitesse de réponse est rapide.",IF(_xlpm.hrtScore&lt;45,"La vitesse de réponse est légèrement rapide.",IF(_xlpm.hrtScore&lt;55,"La vitesse de réponse se situe dans la moyenne.",IF(_xlpm.hrtScore&lt;60,"La vitesse de réponse est légèrement ralentie.",IF(_xlpm.hrtScore&lt;70,"La vitesse de réponse est ralentie.","La vitesse de réponse est très ralentie."))))),_xlpm.fragile,OR(_xlpm.omScore&gt;=60,_xlpm.comScore&gt;=60,_xlpm.perScore&gt;=60),_xlpm.summaryTxt,IF(_xlpm.fragile,"Ce profil attentionnel montre quelques fragilités dans ce contexte structuré.","Ce profil n’évoque pas de difficulté attentionnelle marquée dans ce contexte structuré."),_xlpm.speedTxt,IF(AND(_xlpm.ivtCat&lt;&gt;"",_xlpm.codeCat&lt;&gt;"",_xlpm.symCat&lt;&gt;""),"Dans les tâches simples de vitesse visuelle, le rendement global se situe "&amp;_xlpm.lvl(_xlpm.ivtCat)&amp;", avec un balayage visuel/graphomoteur "&amp;_xlpm.lvl(_xlpm.codeCat)&amp;" et une attention sélective visuelle "&amp;_xlpm.lvl(_xlpm.symCat)&amp;".",_xlfn.TEXTJOIN(" ",TRUE,IF(_xlpm.ivtCat="","","Le rendement global en vitesse visuelle se situe "&amp;_xlpm.lvl(_xlpm.ivtCat)&amp;"."),IF(_xlpm.codeCat="","","Le balayage visuel/graphomoteur se situe "&amp;_xlpm.lvl(_xlpm.codeCat)&amp;"."),IF(_xlpm.symCat="","","L’attention sélective visuelle se situe "&amp;_xlpm.lvl(_xlpm.symCat)&amp;"."))),_xlfn.TEXTJOIN(" ",TRUE,"Les fonctions attentionnelles permettent de sélectionner les informations pertinentes et d’ajuster la réponse en fonction des exigences de la tâche.","Elles ont été évaluées à l’aide d’une tâche continue informatisée de discrimination visuelle, complétée par des mesures de vitesse de traitement.",_xlpm.styleTxt,_xlpm.omTxt,_xlpm.comTxt,_xlpm.perTxt,_xlpm.hrtTxt,_xlpm.summaryTxt,_xlpm.speedTxt))</x:f>
        <x:v>Les fonctions attentionnelles permettent de sélectionner les informations pertinentes et d’ajuster la réponse en fonction des exigences de la tâche. Elles ont été évaluées à l’aide d’une tâche continue informatisée de discrimination visuelle, complétée par des mesures de vitesse de traitement. Chez Mme Gingras, le style de réponse est plutôt libéral et privilégie la vitesse à l’exactitude. Les omissions sont peu nombreuses, ce qui n’appuie pas une inattention marquée sur ce type de tâche. Le taux de réponses aux non-cibles demeure dans la moyenne. Les réponses anticipées ou répétitives demeurent dans la moyenne. La vitesse de réponse est légèrement rapide. Ce profil n’évoque pas de difficulté attentionnelle marquée dans ce contexte structuré. Dans les tâches simples de vitesse visuelle, le rendement global se situe dans la moyenne, avec un balayage visuel/graphomoteur en moyenne élevée et une attention sélective visuelle dans la moyenne.</x:v>
      </x:c>
      <x:c r="C32" s="263"/>
      <x:c r="D32" s="263"/>
      <x:c r="E32" s="263"/>
      <x:c r="F32" s="264"/>
    </x:row>
    <x:row r="33">
      <x:c r="A33" s="292" t="s">
        <x:v>457</x:v>
      </x:c>
      <x:c r="B33" s="295"/>
      <x:c r="C33" s="295"/>
      <x:c r="D33" s="295"/>
      <x:c r="E33" s="295"/>
      <x:c r="F33" s="295"/>
    </x:row>
    <x:row r="34" ht="32">
      <x:c r="A34" s="269"/>
      <x:c r="B34" s="276" t="str">
        <x:f>_xlfn.LET(_xlpm.hrtScore,'Tableau de scores'!$E$65,_xlpm.isiCat,'Tableau de scores'!$J$69,_xlpm.hrtTxt,IF(_xlpm.hrtScore&lt;40,"Le temps de réponse moyen est rapide.",IF(_xlpm.hrtScore&lt;45,"Le temps de réponse moyen est légèrement rapide.",IF(_xlpm.hrtScore&lt;55,"Le temps de réponse moyen se situe dans la moyenne.",IF(_xlpm.hrtScore&lt;60,"Le temps de réponse moyen est légèrement ralenti.",IF(_xlpm.hrtScore&lt;70,"Le temps de réponse moyen est ralenti.","Le temps de réponse moyen est très ralenti."))))),_xlpm.isiTxt,IF(_xlpm.isiCat="moyenne","La variation de la vitesse de réponse selon l’espacement des stimuli demeure dans la moyenne.",IF(_xlpm.isiCat="","","La variation de la vitesse de réponse selon l’espacement des stimuli se situe dans la catégorie "&amp;_xlpm.isiCat&amp;".")),_xlpm.isiLow,OR(ISNUMBER(SEARCH("faible",LOWER(_xlpm.isiCat))),ISNUMBER(SEARCH("limite",LOWER(_xlpm.isiCat)))),_xlpm.summaryTxt,IF(_xlpm.isiLow,"L’ensemble suggère une baisse de l’état d’alerte lorsque les stimuli sont plus espacés.","L’ensemble ne suggère pas de déficit de vigilance sur ce type de tâche."),_xlfn.TEXTJOIN(" ",TRUE,"La vigilance réfère à la capacité de maintenir l’état d’alerte lorsque les stimuli sont peu fréquents ou plus espacés dans le temps.","Elle a été évaluée à partir du temps de réponse moyen et de sa variation selon l’intervalle entre les stimuli.",_xlpm.hrtTxt,_xlpm.isiTxt,_xlpm.summaryTxt))</x:f>
        <x:v>La vigilance réfère à la capacité de maintenir l’état d’alerte lorsque les stimuli sont peu fréquents ou plus espacés dans le temps. Elle a été évaluée à partir du temps de réponse moyen et de sa variation selon l’intervalle entre les stimuli. Le temps de réponse moyen est légèrement rapide. La variation de la vitesse de réponse selon l’espacement des stimuli demeure dans la moyenne. L’ensemble ne suggère pas de déficit de vigilance sur ce type de tâche.</x:v>
      </x:c>
      <x:c r="C34" s="263"/>
      <x:c r="D34" s="263"/>
      <x:c r="E34" s="263"/>
      <x:c r="F34" s="264"/>
    </x:row>
    <x:row r="35">
      <x:c r="A35" s="292" t="s">
        <x:v>458</x:v>
      </x:c>
      <x:c r="B35" s="295"/>
      <x:c r="C35" s="295"/>
      <x:c r="D35" s="295"/>
      <x:c r="E35" s="295"/>
      <x:c r="F35" s="295"/>
    </x:row>
    <x:row r="36" ht="32">
      <x:c r="A36" s="269"/>
      <x:c r="B36" s="276" t="str">
        <x:f>_xlfn.LET(_xlpm.consScore,'Tableau de scores'!$E$66,_xlpm.varScore,'Tableau de scores'!$E$67,_xlpm.blockScore,'Tableau de scores'!$E$68,_xlpm.constanceTxt,IF(_xlpm.consScore&lt;45,"La dispersion des temps de réaction est faible, ce qui traduit une bonne constance de réponse.",IF(_xlpm.consScore&gt;=60,"La dispersion des temps de réaction est accrue, ce qui suggère une constance attentionnelle plus fragile.","La constance des réponses se situe dans la moyenne.")),_xlpm.varTxt,IF(_xlpm.varScore&lt;45,"La variabilité des réponses demeure faible.",IF(_xlpm.varScore&gt;=60,"La variabilité des réponses est plus élevée qu’attendu.","La variabilité des réponses se situe dans la moyenne.")),_xlpm.blockTxt,IF(_xlpm.blockScore&lt;60,"Le rythme de réponse demeure stable au fil de la tâche.","Le rythme de réponse ralentit progressivement au fil de la tâche."),_xlpm.summaryTxt,IF(AND(_xlpm.consScore&lt;60,_xlpm.varScore&lt;60,_xlpm.blockScore&lt;60),"Pris ensemble, ces indices sont compatibles avec un maintien adéquat de l’attention au fil de la tâche.","Pris ensemble, ces indices suggèrent quelques fluctuations attentionnelles au fil de la tâche."),_xlfn.TEXTJOIN(" ",TRUE,"L’attention soutenue réfère à la capacité de maintenir les ressources attentionnelles sur une période prolongée, même lorsque la tâche devient monotone.","Elle a été évaluée à partir de la constance des temps de réaction, de leur variabilité et de leur évolution au fil des blocs.",_xlpm.constanceTxt,_xlpm.varTxt,_xlpm.blockTxt,_xlpm.summaryTxt))</x:f>
        <x:v>L’attention soutenue réfère à la capacité de maintenir les ressources attentionnelles sur une période prolongée, même lorsque la tâche devient monotone. Elle a été évaluée à partir de la constance des temps de réaction, de leur variabilité et de leur évolution au fil des blocs. La dispersion des temps de réaction est faible, ce qui traduit une bonne constance de réponse. La variabilité des réponses demeure faible. Le rythme de réponse demeure stable au fil de la tâche. Pris ensemble, ces indices sont compatibles avec un maintien adéquat de l’attention au fil de la tâche.</x:v>
      </x:c>
      <x:c r="C36" s="263"/>
      <x:c r="D36" s="263"/>
      <x:c r="E36" s="263"/>
      <x:c r="F36" s="264"/>
    </x:row>
    <x:row r="37">
      <x:c r="A37" s="292" t="s">
        <x:v>44</x:v>
      </x:c>
      <x:c r="B37" s="295"/>
      <x:c r="C37" s="295"/>
      <x:c r="D37" s="295"/>
      <x:c r="E37" s="295"/>
      <x:c r="F37" s="295"/>
    </x:row>
    <x:row r="38" ht="32">
      <x:c r="A38" s="269"/>
      <x:c r="B38" s="276" t="str">
        <x:f>_xlfn.LET(_xlpm.name,'Tableau de scores'!$C$3,_xlpm.imtCat,'Tableau de scores'!$J$24,_xlpm.attCat,'Tableau de scores'!$J$25,_xlpm.empanCat,'Tableau de scores'!$J$26,_xlpm.manipCat,'Tableau de scores'!$J$27,_xlpm.seqCat,'Tableau de scores'!$J$28,_xlpm.arithCat,'Tableau de scores'!$J$29,_xlpm.overallTxt,IF(OR(_xlpm.imtCat="moyenne",_xlpm.imtCat="moyenne élevée",_xlpm.imtCat="moyenne faible"),"Chez "&amp;_xlpm.name&amp;", ce versant relève de la "&amp;_xlpm.imtCat&amp;".",IF(_xlpm.imtCat="","","Chez "&amp;_xlpm.name&amp;", ce versant se situe dans la catégorie "&amp;_xlpm.imtCat&amp;".")),_xlpm.detailTxt,IF(AND(_xlpm.attCat="moyenne",_xlpm.empanCat="moyenne",_xlpm.manipCat="moyenne",_xlpm.seqCat="moyenne",_xlpm.arithCat="moyenne élevée"),"L’attention auditive immédiate, la répétition simple, la manipulation mentale et la remise en ordre séquentielle se maintiennent dans la moyenne, tandis que le calcul mental ressort en moyenne élevée.",_xlfn.TEXTJOIN(" ",TRUE,IF(_xlpm.attCat="","","L’attention auditive immédiate se situe dans la catégorie "&amp;_xlpm.attCat&amp;"."),IF(_xlpm.empanCat="","","La répétition simple d’informations verbales se situe dans la catégorie "&amp;_xlpm.empanCat&amp;"."),IF(_xlpm.manipCat="","","La manipulation mentale de l’information se situe dans la catégorie "&amp;_xlpm.manipCat&amp;"."),IF(_xlpm.seqCat="","","La remise en ordre séquentielle se situe dans la catégorie "&amp;_xlpm.seqCat&amp;"."),IF(_xlpm.arithCat="","","Le calcul mental se situe dans la catégorie "&amp;_xlpm.arithCat&amp;"."))),_xlpm.imtLow,OR(ISNUMBER(SEARCH("faible",LOWER(_xlpm.imtCat))),ISNUMBER(SEARCH("limite",LOWER(_xlpm.imtCat)))),_xlpm.summaryTxt,IF(_xlpm.imtLow,"Chez "&amp;_xlpm.name&amp;", la mémoire de travail devient plus coûteuse lorsque plusieurs informations doivent être maintenues et manipulées simultanément.","Chez "&amp;_xlpm.name&amp;", la mémoire de travail demeure globalement bien soutenue."),_xlfn.TEXTJOIN(" ",TRUE,"La mémoire de travail réfère à la capacité de maintenir temporairement une information en tête tout en la manipulant mentalement pour guider l’action.","Elle a été évaluée à l’aide de tâches de répétition immédiate, de réorganisation mentale et de calcul mental.",_xlpm.overallTxt,_xlpm.detailTxt,_xlpm.summaryTxt))</x:f>
        <x:v>La mémoire de travail réfère à la capacité de maintenir temporairement une information en tête tout en la manipulant mentalement pour guider l’action. Elle a été évaluée à l’aide de tâches de répétition immédiate, de réorganisation mentale et de calcul mental. Chez Mme Gingras, ce versant relève de la moyenne. L’attention auditive immédiate, la répétition simple, la manipulation mentale et la remise en ordre séquentielle se maintiennent dans la moyenne, tandis que le calcul mental ressort en moyenne élevée. Chez Mme Gingras, la mémoire de travail demeure globalement bien soutenue.</x:v>
      </x:c>
      <x:c r="C38" s="298"/>
      <x:c r="D38" s="298"/>
      <x:c r="E38" s="298"/>
      <x:c r="F38" s="299"/>
    </x:row>
    <x:row r="39">
      <x:c r="A39" s="292" t="s">
        <x:v>459</x:v>
      </x:c>
      <x:c r="B39" s="295"/>
      <x:c r="C39" s="295"/>
      <x:c r="D39" s="295"/>
      <x:c r="E39" s="295"/>
      <x:c r="F39" s="295"/>
    </x:row>
    <x:row r="40" ht="48">
      <x:c r="A40" s="269"/>
      <x:c r="B40" s="276" t="str">
        <x:f>_xlfn.LET(_xlpm.name,'Tableau de scores'!$C$3,_xlpm.learnCat,'Tableau de scores'!$J$39,_xlpm.delayCat,'Tableau de scores'!$J$40,_xlpm.interCat,'Tableau de scores'!$J$41,_xlpm.copyCat,'Tableau de scores'!$J$53,_xlpm.timeCat,'Tableau de scores'!$J$57,_xlpm.immCat,'Tableau de scores'!$J$54,_xlpm.visDelayCat,'Tableau de scores'!$J$55,_xlpm.recCat,'Tableau de scores'!$J$56,_xlpm.detailVerbal,IF(AND(_xlpm.learnCat="moyenne faible",_xlpm.delayCat="moyenne faible",_xlpm.interCat="limite"),"Sur le versant verbal, l’apprentissage et le rappel différé se situent en moyenne faible, tandis que le rappel après interférence tombe dans la zone limite.",_xlfn.TEXTJOIN(" ",TRUE,IF(_xlpm.learnCat="","","L’apprentissage verbal se situe dans la catégorie "&amp;_xlpm.learnCat&amp;"."),IF(_xlpm.delayCat="","","Le rappel différé verbal se situe dans la catégorie "&amp;_xlpm.delayCat&amp;"."),IF(_xlpm.interCat="","","Le rappel après interférence se situe dans la catégorie "&amp;_xlpm.interCat&amp;"."))),_xlpm.detailVis,IF(AND(_xlpm.copyCat="limite",_xlpm.timeCat="limite",_xlpm.immCat="limite",_xlpm.visDelayCat="extrêmement faible",_xlpm.recCat="moyenne faible"),"Sur le versant visuel, la copie initiale, sa vitesse d’exécution et le rappel immédiat se situent en limite, alors que le rappel différé apparaît extrêmement faible et que la reconnaissance demeure en moyenne faible.",_xlfn.TEXTJOIN(" ",TRUE,IF(_xlpm.copyCat="","","La copie initiale se situe dans la catégorie "&amp;_xlpm.copyCat&amp;"."),IF(_xlpm.timeCat="","","La vitesse d’exécution en copie se situe dans la catégorie "&amp;_xlpm.timeCat&amp;"."),IF(_xlpm.immCat="","","Le rappel visuel immédiat se situe dans la catégorie "&amp;_xlpm.immCat&amp;"."),IF(_xlpm.visDelayCat="","","Le rappel visuel différé se situe dans la catégorie "&amp;_xlpm.visDelayCat&amp;"."),IF(_xlpm.recCat="","","La reconnaissance visuelle se situe dans la catégorie "&amp;_xlpm.recCat&amp;"."))),_xlpm.verbalLow,OR(ISNUMBER(SEARCH("faible",LOWER(_xlpm.learnCat))),ISNUMBER(SEARCH("limite",LOWER(_xlpm.learnCat))),ISNUMBER(SEARCH("faible",LOWER(_xlpm.delayCat))),ISNUMBER(SEARCH("limite",LOWER(_xlpm.delayCat))),ISNUMBER(SEARCH("faible",LOWER(_xlpm.interCat))),ISNUMBER(SEARCH("limite",LOWER(_xlpm.interCat)))),_xlpm.visLow,OR(ISNUMBER(SEARCH("faible",LOWER(_xlpm.copyCat))),ISNUMBER(SEARCH("limite",LOWER(_xlpm.copyCat))),ISNUMBER(SEARCH("faible",LOWER(_xlpm.timeCat))),ISNUMBER(SEARCH("limite",LOWER(_xlpm.timeCat)))),_xlpm.summaryTxt,IF(AND(_xlpm.verbalLow,_xlpm.visLow),"Chez "&amp;_xlpm.name&amp;", la difficulté semble davantage tenir à la qualité de l’encodage, surtout visuel, qu’à une atteinte mnésique uniforme.",IF(_xlpm.verbalLow,"Chez "&amp;_xlpm.name&amp;", le versant verbal apparaît plus fragile que le reste du fonctionnement mnésique.",IF(_xlpm.visLow,"Chez "&amp;_xlpm.name&amp;", le versant visuel paraît fragilisé dès l’encodage initial, ce qui retentit ensuite sur les rappels.","Chez "&amp;_xlpm.name&amp;", l’ensemble des processus mnésiques demeure globalement cohérent."))),_xlfn.TEXTJOIN(" ",TRUE,"La mémoire réfère aux processus d’encodage, de consolidation et de récupération des informations nouvelles, qu’elles soient verbales ou visuelles.","Elle a été évaluée à partir d’un apprentissage verbal répété et d’une figure complexe copiée puis rappelée après délai.",_xlpm.detailVerbal,_xlpm.detailVis,_xlpm.summaryTxt))</x:f>
        <x:v>La mémoire réfère aux processus d’encodage, de consolidation et de récupération des informations nouvelles, qu’elles soient verbales ou visuelles. Elle a été évaluée à partir d’un apprentissage verbal répété et d’une figure complexe copiée puis rappelée après délai. Sur le versant verbal, l’apprentissage et le rappel différé se situent en moyenne faible, tandis que le rappel après interférence tombe dans la zone limite. Sur le versant visuel, la copie initiale, sa vitesse d’exécution et le rappel immédiat se situent en limite, alors que le rappel différé apparaît extrêmement faible et que la reconnaissance demeure en moyenne faible. Chez Mme Gingras, la difficulté semble davantage tenir à la qualité de l’encodage, surtout visuel, qu’à une atteinte mnésique uniforme.</x:v>
      </x:c>
      <x:c r="C40" s="263"/>
      <x:c r="D40" s="263"/>
      <x:c r="E40" s="263"/>
      <x:c r="F40" s="264"/>
    </x:row>
    <x:row r="41">
      <x:c r="A41" s="292" t="s">
        <x:v>68</x:v>
      </x:c>
      <x:c r="B41" s="295"/>
      <x:c r="C41" s="295"/>
      <x:c r="D41" s="295"/>
      <x:c r="E41" s="295"/>
      <x:c r="F41" s="295"/>
    </x:row>
    <x:row r="42" ht="32">
      <x:c r="A42" s="269"/>
      <x:c r="B42" s="276" t="str">
        <x:f>_xlfn.LET(_xlpm.name,'Tableau de scores'!$C$3,_xlpm.learnCat,'Tableau de scores'!$J$39,_xlpm.delayCat,'Tableau de scores'!$J$40,_xlpm.interCat,'Tableau de scores'!$J$41,_xlpm.detailTxt,IF(AND(_xlpm.learnCat="moyenne faible",_xlpm.delayCat="moyenne faible",_xlpm.interCat="limite"),"L’apprentissage verbal et le rappel différé se situent en moyenne faible, tandis que le rappel après interférence tombe dans la zone limite.",_xlfn.TEXTJOIN(" ",TRUE,IF(_xlpm.learnCat="","","L’apprentissage verbal se situe dans la catégorie "&amp;_xlpm.learnCat&amp;"."),IF(_xlpm.delayCat="","","Le rappel différé se situe dans la catégorie "&amp;_xlpm.delayCat&amp;"."),IF(_xlpm.interCat="","","Le rappel après interférence se situe dans la catégorie "&amp;_xlpm.interCat&amp;"."))),_xlpm.lowProfile,OR(ISNUMBER(SEARCH("faible",LOWER(_xlpm.learnCat))),ISNUMBER(SEARCH("limite",LOWER(_xlpm.learnCat))),ISNUMBER(SEARCH("faible",LOWER(_xlpm.delayCat))),ISNUMBER(SEARCH("limite",LOWER(_xlpm.delayCat))),ISNUMBER(SEARCH("faible",LOWER(_xlpm.interCat))),ISNUMBER(SEARCH("limite",LOWER(_xlpm.interCat)))),_xlpm.summaryTxt,IF(_xlpm.lowProfile,"Chez "&amp;_xlpm.name&amp;", le profil évoque un encodage verbal plus laborieux et une récupération moins efficace après délai.","Chez "&amp;_xlpm.name&amp;", les processus verbaux d’encodage et de récupération demeurent globalement adéquats."),_xlfn.TEXTJOIN(" ",TRUE,"La mémoire épisodique verbale comprend les processus d’encodage, de consolidation et de récupération des informations verbales nouvelles.","Elle a été évaluée à partir d’un apprentissage verbal répété avec rappel différé et rappel après interférence.",_xlpm.detailTxt,_xlpm.summaryTxt))</x:f>
        <x:v>La mémoire épisodique verbale comprend les processus d’encodage, de consolidation et de récupération des informations verbales nouvelles. Elle a été évaluée à partir d’un apprentissage verbal répété avec rappel différé et rappel après interférence. L’apprentissage verbal et le rappel différé se situent en moyenne faible, tandis que le rappel après interférence tombe dans la zone limite. Chez Mme Gingras, le profil évoque un encodage verbal plus laborieux et une récupération moins efficace après délai.</x:v>
      </x:c>
      <x:c r="C42" s="263"/>
      <x:c r="D42" s="263"/>
      <x:c r="E42" s="263"/>
      <x:c r="F42" s="264"/>
    </x:row>
    <x:row r="43">
      <x:c r="A43" s="292" t="s">
        <x:v>460</x:v>
      </x:c>
      <x:c r="B43" s="295"/>
      <x:c r="C43" s="295"/>
      <x:c r="D43" s="295"/>
      <x:c r="E43" s="295"/>
      <x:c r="F43" s="295"/>
    </x:row>
    <x:row r="44" ht="32">
      <x:c r="A44" s="269"/>
      <x:c r="B44" s="276" t="str">
        <x:f>_xlfn.LET(_xlpm.name,'Tableau de scores'!$C$3,_xlpm.copyCat,'Tableau de scores'!$J$53,_xlpm.timeCat,'Tableau de scores'!$J$57,_xlpm.immCat,'Tableau de scores'!$J$54,_xlpm.visDelayCat,'Tableau de scores'!$J$55,_xlpm.recCat,'Tableau de scores'!$J$56,_xlpm.detailTxt,IF(AND(_xlpm.copyCat="limite",_xlpm.timeCat="limite",_xlpm.immCat="limite",_xlpm.visDelayCat="extrêmement faible",_xlpm.recCat="moyenne faible"),"La copie initiale, sa vitesse d’exécution et le rappel immédiat se situent en limite, alors que le rappel différé apparaît extrêmement faible et que la reconnaissance demeure en moyenne faible.",_xlfn.TEXTJOIN(" ",TRUE,IF(_xlpm.copyCat="","","La copie initiale se situe dans la catégorie "&amp;_xlpm.copyCat&amp;"."),IF(_xlpm.timeCat="","","Sa vitesse d’exécution se situe dans la catégorie "&amp;_xlpm.timeCat&amp;"."),IF(_xlpm.immCat="","","Le rappel immédiat se situe dans la catégorie "&amp;_xlpm.immCat&amp;"."),IF(_xlpm.visDelayCat="","","Le rappel différé se situe dans la catégorie "&amp;_xlpm.visDelayCat&amp;"."),IF(_xlpm.recCat="","","La reconnaissance se situe dans la catégorie "&amp;_xlpm.recCat&amp;"."))),_xlpm.encFrag,OR(ISNUMBER(SEARCH("faible",LOWER(_xlpm.copyCat))),ISNUMBER(SEARCH("limite",LOWER(_xlpm.copyCat))),ISNUMBER(SEARCH("faible",LOWER(_xlpm.timeCat))),ISNUMBER(SEARCH("limite",LOWER(_xlpm.timeCat)))),_xlpm.summaryTxt,IF(_xlpm.encFrag,"Chez "&amp;_xlpm.name&amp;", la qualité de la copie initiale indique que l’encodage visuel est déjà fragilisé en amont, ce qui contribue ensuite à la faiblesse des rappels.","Chez "&amp;_xlpm.name&amp;", l’évolution des rappels visuels demeure cohérente avec la performance initiale."),_xlfn.TEXTJOIN(" ",TRUE,"La mémoire épisodique visuelle comprend les processus d’encodage, de consolidation et de récupération des informations visuelles complexes.","Elle a été évaluée à partir de la copie d’une figure complexe, suivie d’un rappel immédiat, d’un rappel différé et d’une reconnaissance.",_xlpm.detailTxt,_xlpm.summaryTxt))</x:f>
        <x:v>La mémoire épisodique visuelle comprend les processus d’encodage, de consolidation et de récupération des informations visuelles complexes. Elle a été évaluée à partir de la copie d’une figure complexe, suivie d’un rappel immédiat, d’un rappel différé et d’une reconnaissance. La copie initiale, sa vitesse d’exécution et le rappel immédiat se situent en limite, alors que le rappel différé apparaît extrêmement faible et que la reconnaissance demeure en moyenne faible. Chez Mme Gingras, la qualité de la copie initiale indique que l’encodage visuel est déjà fragilisé en amont, ce qui contribue ensuite à la faiblesse des rappels.</x:v>
      </x:c>
      <x:c r="C44" s="263"/>
      <x:c r="D44" s="263"/>
      <x:c r="E44" s="263"/>
      <x:c r="F44" s="264"/>
    </x:row>
    <x:row r="45">
      <x:c r="A45" s="292" t="s">
        <x:v>265</x:v>
      </x:c>
      <x:c r="B45" s="295"/>
      <x:c r="C45" s="295"/>
      <x:c r="D45" s="295"/>
      <x:c r="E45" s="295"/>
      <x:c r="F45" s="295"/>
    </x:row>
    <x:row r="46" ht="48">
      <x:c r="A46" s="270"/>
      <x:c r="B46" s="296" t="str">
        <x:f>_xlfn.LET(_xlpm.name,'Tableau de scores'!$C$3,_xlpm.stroopInhCat,IF(ISNUMBER(SEARCH("supérieure",'Tableau de scores'!$J$72)),'Tableau de scores'!$J$72,SUBSTITUTE('Tableau de scores'!$J$72,"supérieur","supérieure")),_xlpm.stroopAltCat,IF(ISNUMBER(SEARCH("supérieure",'Tableau de scores'!$J$73)),'Tableau de scores'!$J$73,SUBSTITUTE('Tableau de scores'!$J$73,"supérieur","supérieure")),_xlpm.towerCat,IF(ISNUMBER(SEARCH("supérieure",'Tableau de scores'!$J$87)),'Tableau de scores'!$J$87,SUBSTITUTE('Tableau de scores'!$J$87,"supérieur","supérieure")),_xlpm.phonCat,IF(ISNUMBER(SEARCH("supérieure",'Tableau de scores'!$J$92)),'Tableau de scores'!$J$92,SUBSTITUTE('Tableau de scores'!$J$92,"supérieur","supérieure")),_xlpm.semCat,IF(ISNUMBER(SEARCH("supérieure",'Tableau de scores'!$J$93)),'Tableau de scores'!$J$93,SUBSTITUTE('Tableau de scores'!$J$93,"supérieur","supérieure")),_xlpm.altCat,IF(ISNUMBER(SEARCH("supérieure",'Tableau de scores'!$J$94)),'Tableau de scores'!$J$94,SUBSTITUTE('Tableau de scores'!$J$94,"supérieur","supérieure")),_xlpm.graphCat,IF(ISNUMBER(SEARCH("supérieure",'Tableau de scores'!$J$112)),'Tableau de scores'!$J$112,SUBSTITUTE('Tableau de scores'!$J$112,"supérieur","supérieure")),_xlpm.detailExec,IF(AND(_xlpm.stroopInhCat="très supérieure",_xlpm.stroopAltCat="moyenne élevée",_xlpm.towerCat="limite"),"Chez "&amp;_xlpm.name&amp;", l’inhibition ressort très supérieure, la flexibilité cognitive en moyenne élevée, tandis que la planification globale apparaît limite.",_xlfn.TEXTJOIN(" ",TRUE,IF(_xlpm.stroopInhCat="","","L’inhibition se situe dans la catégorie "&amp;_xlpm.stroopInhCat&amp;"."),IF(_xlpm.stroopAltCat="","","La flexibilité cognitive se situe dans la catégorie "&amp;_xlpm.stroopAltCat&amp;"."),IF(_xlpm.towerCat="","","La planification globale se situe dans la catégorie "&amp;_xlpm.towerCat&amp;"."))),_xlpm.detailProd,IF(AND(_xlpm.phonCat="moyenne",_xlpm.semCat="très supérieure",_xlpm.altCat="moyenne",_xlpm.graphCat="moyenne"),"Sur le plan de la production, l’accès phonémique demeure dans la moyenne, l’accès sémantique ressort très supérieur, et l’alternance verbale comme la fluence visuomotrice non verbale se maintiennent dans la moyenne.",_xlfn.TEXTJOIN(" ",TRUE,IF(_xlpm.phonCat="","","L’accès phonémique se situe dans la catégorie "&amp;_xlpm.phonCat&amp;"."),IF(_xlpm.semCat="","","L’accès sémantique se situe dans la catégorie "&amp;_xlpm.semCat&amp;"."),IF(_xlpm.altCat="","","L’alternance verbale se situe dans la catégorie "&amp;_xlpm.altCat&amp;"."),IF(_xlpm.graphCat="","","La fluence visuomotrice non verbale se situe dans la catégorie "&amp;_xlpm.graphCat&amp;"."))),_xlpm.towerLow,OR(ISNUMBER(SEARCH("faible",LOWER(_xlpm.towerCat))),ISNUMBER(SEARCH("limite",LOWER(_xlpm.towerCat)))),_xlpm.summaryTxt,IF(_xlpm.towerLow,"Chez "&amp;_xlpm.name&amp;", le contrôle exécutif apparaît solide pour l’inhibition et l’ajustement, mais plus coûteux lorsque la planification doit être très efficiente.","Chez "&amp;_xlpm.name&amp;", le fonctionnement exécutif apparaît globalement solide d’une tâche à l’autre."),_xlfn.TEXTJOIN(" ",TRUE,"Les fonctions exécutives réfèrent aux capacités qui permettent d’initier, de moduler et d’ajuster le comportement vers un but dans des situations nouvelles ou complexes.","Elles ont été évaluées à l’aide de tâches d’inhibition de réponse, de flexibilité cognitive, de planification et de fluence verbale et non verbale.",_xlpm.detailExec,_xlpm.detailProd,_xlpm.summaryTxt))</x:f>
        <x:v>Les fonctions exécutives réfèrent aux capacités qui permettent d’initier, de moduler et d’ajuster le comportement vers un but dans des situations nouvelles ou complexes. Elles ont été évaluées à l’aide de tâches d’inhibition de réponse, de flexibilité cognitive, de planification et de fluence verbale et non verbale. Chez Mme Gingras, l’inhibition ressort très supérieure, la flexibilité cognitive en moyenne élevée, tandis que la planification globale apparaît limite. Sur le plan de la production, l’accès phonémique demeure dans la moyenne, l’accès sémantique ressort très supérieur, et l’alternance verbale comme la fluence visuomotrice non verbale se maintiennent dans la moyenne. Chez Mme Gingras, le contrôle exécutif apparaît solide pour l’inhibition et l’ajustement, mais plus coûteux lorsque la planification doit être très efficiente.</x:v>
      </x:c>
      <x:c r="C46" s="271"/>
      <x:c r="D46" s="271"/>
      <x:c r="E46" s="271"/>
      <x:c r="F46" s="272"/>
    </x:row>
    <x:row r="47">
      <x:c r="A47" s="292" t="s">
        <x:v>461</x:v>
      </x:c>
      <x:c r="B47" s="295"/>
      <x:c r="C47" s="295"/>
      <x:c r="D47" s="295"/>
      <x:c r="E47" s="295"/>
      <x:c r="F47" s="295"/>
    </x:row>
    <x:row r="48" ht="48">
      <x:c r="A48" s="270"/>
      <x:c r="B48" s="296" t="str">
        <x:f>_xlfn.LET(_xlpm.name,'Tableau de scores'!$C$3,_xlpm.moveCat,IF(ISNUMBER(SEARCH("supérieure",'Tableau de scores'!$J$83)),'Tableau de scores'!$J$83,SUBSTITUTE('Tableau de scores'!$J$83,"supérieur","supérieure")),_xlpm.correctCat,IF(ISNUMBER(SEARCH("supérieure",'Tableau de scores'!$J$84)),'Tableau de scores'!$J$84,SUBSTITUTE('Tableau de scores'!$J$84,"supérieur","supérieure")),_xlpm.initCat,IF(ISNUMBER(SEARCH("supérieure",'Tableau de scores'!$J$85)),'Tableau de scores'!$J$85,SUBSTITUTE('Tableau de scores'!$J$85,"supérieur","supérieure")),_xlpm.execCat,IF(ISNUMBER(SEARCH("supérieure",'Tableau de scores'!$J$86)),'Tableau de scores'!$J$86,SUBSTITUTE('Tableau de scores'!$J$86,"supérieur","supérieure")),_xlpm.totalCat,IF(ISNUMBER(SEARCH("supérieure",'Tableau de scores'!$J$87)),'Tableau de scores'!$J$87,SUBSTITUTE('Tableau de scores'!$J$87,"supérieur","supérieure")),_xlpm.timeBreakCat,IF(ISNUMBER(SEARCH("supérieure",'Tableau de scores'!$J$88)),'Tableau de scores'!$J$88,SUBSTITUTE('Tableau de scores'!$J$88,"supérieur","supérieure")),_xlpm.ruleCat,IF(ISNUMBER(SEARCH("supérieure",'Tableau de scores'!$J$89)),'Tableau de scores'!$J$89,SUBSTITUTE('Tableau de scores'!$J$89,"supérieur","supérieure")),_xlpm.initHigh,OR(ISNUMBER(SEARCH("sup",LOWER(_xlpm.initCat))),ISNUMBER(SEARCH("élev",LOWER(_xlpm.initCat)))),_xlpm.totalLow,OR(ISNUMBER(SEARCH("faible",LOWER(_xlpm.totalCat))),ISNUMBER(SEARCH("limite",LOWER(_xlpm.totalCat)))),_xlfn.TEXTJOIN(" ",TRUE,"La planification et l’organisation réfèrent à la capacité d’anticiper les étapes d’une action, de tenir compte des contraintes et de sélectionner une stratégie efficace pour atteindre un but.","Elles ont été évaluées à partir d’une tâche de résolution de problèmes où il fallait préparer les déplacements, respecter des règles et gérer le temps.",IF(AND(_xlpm.moveCat&lt;&gt;"",_xlpm.correctCat&lt;&gt;"",_xlpm.initCat&lt;&gt;""),"Chez "&amp;_xlpm.name&amp;", l’efficience de planification spatiale se situe dans la catégorie "&amp;_xlpm.moveCat&amp;", l’exactitude dans la catégorie "&amp;_xlpm.correctCat&amp;" et le temps de préplanification dans la catégorie "&amp;_xlpm.initCat&amp;".",""),IF(AND(_xlpm.execCat&lt;&gt;"",_xlpm.timeBreakCat&lt;&gt;"",_xlpm.ruleCat&lt;&gt;"",_xlpm.totalCat&lt;&gt;""),"L’efficience d’exécution se situe dans la catégorie "&amp;_xlpm.execCat&amp;", le respect de la contrainte temporelle dans la catégorie "&amp;_xlpm.timeBreakCat&amp;", le respect des règles dans la catégorie "&amp;_xlpm.ruleCat&amp;" et l’efficience globale dans la catégorie "&amp;_xlpm.totalCat&amp;".",""),IF(AND(_xlpm.initHigh,_xlpm.totalLow),"Chez "&amp;_xlpm.name&amp;", la préparation de l’action est importante, sans que cela ne se traduise toujours par une efficacité globale optimale sous contrainte temporelle.","L’ensemble traduit une organisation globale cohérente de l’action.")))</x:f>
        <x:v>La planification et l’organisation réfèrent à la capacité d’anticiper les étapes d’une action, de tenir compte des contraintes et de sélectionner une stratégie efficace pour atteindre un but. Elles ont été évaluées à partir d’une tâche de résolution de problèmes où il fallait préparer les déplacements, respecter des règles et gérer le temps. Chez Mme Gingras, l’efficience de planification spatiale se situe dans la catégorie moyenne, l’exactitude dans la catégorie moyenne et le temps de préplanification dans la catégorie très supérieure. L’efficience d’exécution se situe dans la catégorie moyenne, le respect de la contrainte temporelle dans la catégorie limite, le respect des règles dans la catégorie moyenne et l’efficience globale dans la catégorie limite. Chez Mme Gingras, la préparation de l’action est importante, sans que cela ne se traduise toujours par une efficacité globale optimale sous contrainte temporelle.</x:v>
      </x:c>
      <x:c r="C48" s="271"/>
      <x:c r="D48" s="271"/>
      <x:c r="E48" s="271"/>
      <x:c r="F48" s="272"/>
    </x:row>
    <x:row r="49">
      <x:c r="A49" s="292" t="s">
        <x:v>462</x:v>
      </x:c>
      <x:c r="B49" s="295"/>
      <x:c r="C49" s="295"/>
      <x:c r="D49" s="295"/>
      <x:c r="E49" s="295"/>
      <x:c r="F49" s="295"/>
    </x:row>
    <x:row r="50" ht="48">
      <x:c r="A50" s="269"/>
      <x:c r="B50" s="276" t="str">
        <x:f>_xlfn.LET(_xlpm.c3Cat,IF(ISNUMBER(SEARCH("supérieure",'Tableau de scores'!$J$72)),'Tableau de scores'!$J$72,SUBSTITUTE('Tableau de scores'!$J$72,"supérieur","supérieure")),_xlpm.c4Cat,IF(ISNUMBER(SEARCH("supérieure",'Tableau de scores'!$J$73)),'Tableau de scores'!$J$73,SUBSTITUTE('Tableau de scores'!$J$73,"supérieur","supérieure")),_xlpm.e3Cat,IF(ISNUMBER(SEARCH("supérieure",'Tableau de scores'!$J$74)),'Tableau de scores'!$J$74,SUBSTITUTE('Tableau de scores'!$J$74,"supérieur","supérieure")),_xlpm.e4Cat,IF(ISNUMBER(SEARCH("supérieure",'Tableau de scores'!$J$75)),'Tableau de scores'!$J$75,SUBSTITUTE('Tableau de scores'!$J$75,"supérieur","supérieure")),_xlpm.inhContrastCat,IF(ISNUMBER(SEARCH("supérieure",'Tableau de scores'!$J$76)),'Tableau de scores'!$J$76,SUBSTITUTE('Tableau de scores'!$J$76,"supérieur","supérieure")),_xlpm.flexContrastCat,IF(ISNUMBER(SEARCH("supérieure",'Tableau de scores'!$J$79)),'Tableau de scores'!$J$79,SUBSTITUTE('Tableau de scores'!$J$79,"supérieur","supérieure")),_xlpm.detailTxt,IF(AND(_xlpm.c3Cat="très supérieure",_xlpm.c4Cat="moyenne élevée",_xlpm.e3Cat="moyenne",_xlpm.e4Cat="moyenne"),"Le contrôle inhibiteur ressort très supérieur, la flexibilité en moyenne élevée, et les erreurs associées à ces deux conditions demeurent dans la moyenne.",_xlfn.TEXTJOIN(" ",TRUE,IF(_xlpm.c3Cat="","","L’inhibition se situe dans la catégorie "&amp;_xlpm.c3Cat&amp;"."),IF(_xlpm.c4Cat="","","La flexibilité se situe dans la catégorie "&amp;_xlpm.c4Cat&amp;"."),IF(_xlpm.e3Cat="","","Les erreurs associées à l’inhibition se situent dans la catégorie "&amp;_xlpm.e3Cat&amp;"."),IF(_xlpm.e4Cat="","","Les erreurs associées à la flexibilité se situent dans la catégorie "&amp;_xlpm.e4Cat&amp;"."))),_xlpm.contrastTxt,IF(AND(_xlpm.inhContrastCat&lt;&gt;"",_xlpm.flexContrastCat&lt;&gt;""),"Les scores de contraste se situent dans les catégories "&amp;_xlpm.inhContrastCat&amp;" et "&amp;_xlpm.flexContrastCat&amp;" et prolongent le profil observé dans les conditions de base.",IF(_xlpm.inhContrastCat&lt;&gt;"","Le score de contraste lié à l’inhibition se situe dans la catégorie "&amp;_xlpm.inhContrastCat&amp;" et prolonge le profil observé dans les conditions de base.",IF(_xlpm.flexContrastCat&lt;&gt;"","Le score de contraste lié à la flexibilité se situe dans la catégorie "&amp;_xlpm.flexContrastCat&amp;" et prolonge le profil observé dans les conditions de base.",""))),_xlpm.lowProfile,OR(ISNUMBER(SEARCH("faible",LOWER(_xlpm.c3Cat))),ISNUMBER(SEARCH("limite",LOWER(_xlpm.c3Cat))),ISNUMBER(SEARCH("faible",LOWER(_xlpm.c4Cat))),ISNUMBER(SEARCH("limite",LOWER(_xlpm.c4Cat)))),_xlpm.summaryTxt,IF(_xlpm.lowProfile,"Le freinage de la réponse ou le changement de règle est plus coûteux dans ce contexte.","L’ensemble montre un bon contrôle de la réponse et une adaptation cognitive adéquate dans un cadre structuré."),_xlfn.TEXTJOIN(" ",TRUE,"La flexibilité et l’inhibition réfèrent à la capacité de freiner une réponse automatique et de modifier la stratégie lorsque les exigences changent.","Elles ont été évaluées à partir de conditions comparant le contrôle inhibiteur, l’alternance et les erreurs associées.",_xlpm.detailTxt,_xlpm.contrastTxt,_xlpm.summaryTxt))</x:f>
        <x:v>La flexibilité et l’inhibition réfèrent à la capacité de freiner une réponse automatique et de modifier la stratégie lorsque les exigences changent. Elles ont été évaluées à partir de conditions comparant le contrôle inhibiteur, l’alternance et les erreurs associées. Le contrôle inhibiteur ressort très supérieur, la flexibilité en moyenne élevée, et les erreurs associées à ces deux conditions demeurent dans la moyenne. Les scores de contraste se situent dans les catégories très supérieure et supérieure et prolongent le profil observé dans les conditions de base. L’ensemble montre un bon contrôle de la réponse et une adaptation cognitive adéquate dans un cadre structuré.</x:v>
      </x:c>
      <x:c r="C50" s="263"/>
      <x:c r="D50" s="263"/>
      <x:c r="E50" s="263"/>
      <x:c r="F50" s="264"/>
    </x:row>
    <x:row r="51">
      <x:c r="A51" s="273"/>
      <x:c r="B51" s="296"/>
      <x:c r="C51" s="274"/>
      <x:c r="D51" s="274"/>
      <x:c r="E51" s="274"/>
      <x:c r="F51" s="275"/>
    </x:row>
    <x:row r="52">
      <x:c r="A52" s="292" t="s">
        <x:v>447</x:v>
      </x:c>
      <x:c r="B52" s="295"/>
      <x:c r="C52" s="295"/>
      <x:c r="D52" s="295"/>
      <x:c r="E52" s="295"/>
      <x:c r="F52" s="295"/>
    </x:row>
    <x:row r="53" ht="48">
      <x:c r="A53" s="273"/>
      <x:c r="B53" s="296" t="str">
        <x:f>_xlfn.LET(_xlpm.name,'Tableau de scores'!$C$3,_xlpm.phonCat,IF(ISNUMBER(SEARCH("supérieure",'Tableau de scores'!$J$92)),'Tableau de scores'!$J$92,SUBSTITUTE('Tableau de scores'!$J$92,"supérieur","supérieure")),_xlpm.semCat,IF(ISNUMBER(SEARCH("supérieure",'Tableau de scores'!$J$93)),'Tableau de scores'!$J$93,SUBSTITUTE('Tableau de scores'!$J$93,"supérieur","supérieure")),_xlpm.altCat,IF(ISNUMBER(SEARCH("supérieure",'Tableau de scores'!$J$94)),'Tableau de scores'!$J$94,SUBSTITUTE('Tableau de scores'!$J$94,"supérieur","supérieure")),_xlpm.contrastCat,IF(ISNUMBER(SEARCH("supérieure",'Tableau de scores'!$J$95)),'Tableau de scores'!$J$95,SUBSTITUTE('Tableau de scores'!$J$95,"supérieur","supérieure")),_xlpm.flexCostCat,'Tableau de scores'!$J$96,_xlpm.altExactCat,IF(ISNUMBER(SEARCH("supérieure",'Tableau de scores'!$J$97)),'Tableau de scores'!$J$97,SUBSTITUTE('Tableau de scores'!$J$97,"supérieur","supérieure")),_xlpm.initCat,IF(ISNUMBER(SEARCH("supérieure",'Tableau de scores'!$J$98)),'Tableau de scores'!$J$98,SUBSTITUTE('Tableau de scores'!$J$98,"supérieur","supérieure")),_xlpm.enduranceCat,IF(ISNUMBER(SEARCH("supérieure",'Tableau de scores'!$J$101)),'Tableau de scores'!$J$101,SUBSTITUTE('Tableau de scores'!$J$101,"supérieur","supérieure")),_xlpm.contrastLow,OR(ISNUMBER(SEARCH("faible",LOWER(_xlpm.contrastCat))),ISNUMBER(SEARCH("limite",LOWER(_xlpm.contrastCat)))),_xlpm.flexLow,OR(ISNUMBER(SEARCH("faible",LOWER(_xlpm.flexCostCat))),ISNUMBER(SEARCH("limite",LOWER(_xlpm.flexCostCat)))),_xlfn.TEXTJOIN(" ",TRUE,"La fluidité verbale réfère à la capacité de produire rapidement des mots selon une consigne, ce qui sollicite l’accès lexical, la stratégie de recherche et la flexibilité mentale.","Elle a été évaluée à partir de conditions de production phonologique, sémantique et alternée.",IF(AND(_xlpm.phonCat&lt;&gt;"",_xlpm.semCat&lt;&gt;"",_xlpm.altCat&lt;&gt;""),"Chez "&amp;_xlpm.name&amp;", l’accès phonémique se situe dans la catégorie "&amp;_xlpm.phonCat&amp;", l’accès sémantique dans la catégorie "&amp;_xlpm.semCat&amp;" et l’alternance verbale dans la catégorie "&amp;_xlpm.altCat&amp;".",""),IF(AND(_xlpm.altExactCat&lt;&gt;"",_xlpm.initCat&lt;&gt;"",_xlpm.enduranceCat&lt;&gt;""),"L’exactitude de l’alternance se situe dans la catégorie "&amp;_xlpm.altExactCat&amp;", l’initiation dans la catégorie "&amp;_xlpm.initCat&amp;" et l’endurance dans la catégorie "&amp;_xlpm.enduranceCat&amp;".",""),IF(_xlpm.contrastLow,"Le contraste entre les conditions phonologique et sémantique met en évidence un avantage relatif de l’accès sémantique sur l’accès phonémique.",IF(_xlpm.contrastCat&lt;&gt;"","Le profil verbal demeure plutôt équilibré entre l’accès phonémique et l’accès sémantique.","")),IF(_xlpm.flexLow,"Le coût de flexibilité verbale est plus marqué lorsque la tâche exige une alternance rapide.","")))</x:f>
        <x:v>La fluidité verbale réfère à la capacité de produire rapidement des mots selon une consigne, ce qui sollicite l’accès lexical, la stratégie de recherche et la flexibilité mentale. Elle a été évaluée à partir de conditions de production phonologique, sémantique et alternée. Chez Mme Gingras, l’accès phonémique se situe dans la catégorie moyenne, l’accès sémantique dans la catégorie très supérieure et l’alternance verbale dans la catégorie moyenne. L’exactitude de l’alternance se situe dans la catégorie moyenne élevée, l’initiation dans la catégorie moyenne et l’endurance dans la catégorie moyenne élevée. Le contraste entre les conditions phonologique et sémantique met en évidence un avantage relatif de l’accès sémantique sur l’accès phonémique. Le coût de flexibilité verbale est plus marqué lorsque la tâche exige une alternance rapide.</x:v>
      </x:c>
      <x:c r="C53" s="274"/>
      <x:c r="D53" s="274"/>
      <x:c r="E53" s="274"/>
      <x:c r="F53" s="275"/>
    </x:row>
    <x:row r="54">
      <x:c r="A54" s="292" t="s">
        <x:v>449</x:v>
      </x:c>
      <x:c r="B54" s="295"/>
      <x:c r="C54" s="295"/>
      <x:c r="D54" s="295"/>
      <x:c r="E54" s="295"/>
      <x:c r="F54" s="295"/>
    </x:row>
    <x:row r="55">
      <x:c r="A55" s="300"/>
      <x:c r="B55" s="432" t="str" cm="1">
        <x:f t="array" ref="B55">_xlfn.LET(_xlpm.name,'Tableau de scores'!$C$3,_xlpm.baseCat,'Tableau de scores'!$J$108,_xlpm.prodCat,'Tableau de scores'!$J$109,_xlpm.scanCat,'Tableau de scores'!$J$110,_xlpm.switchCat,'Tableau de scores'!$J$111,_xlpm.globalCat,'Tableau de scores'!$J$112,_xlpm.flexCostCat,'Tableau de scores'!$J$113,_xlpm.goalErrCat,'Tableau de scores'!$J$114,_xlpm.repErrCat,'Tableau de scores'!$J$115,_xlpm.lvl,_xlfn.LAMBDA(_xlpm.cat,_xlfn.IFS(_xlpm.cat="","",_xlpm.cat="moyenne","dans la moyenne",_xlpm.cat="moyenne élevée","en moyenne élevée",_xlpm.cat="moyenne faible","en moyenne faible",_xlpm.cat="limite","dans la zone limite",_xlpm.cat="extrêmement faible","dans la zone extrêmement faible",TRUE,"à un niveau "&amp;_xlpm.cat)),_xlpm.lowGlobal,OR(ISNUMBER(SEARCH("faible",LOWER(_xlpm.globalCat))),ISNUMBER(SEARCH("limite",LOWER(_xlpm.globalCat))),ISNUMBER(SEARCH("faible",LOWER(_xlpm.prodCat))),ISNUMBER(SEARCH("limite",LOWER(_xlpm.prodCat)))),_xlpm.errFrag,OR(ISNUMBER(SEARCH("faible",LOWER(_xlpm.goalErrCat))),ISNUMBER(SEARCH("limite",LOWER(_xlpm.goalErrCat))),ISNUMBER(SEARCH("faible",LOWER(_xlpm.repErrCat))),ISNUMBER(SEARCH("limite",LOWER(_xlpm.repErrCat)))),_xlfn.TEXTJOIN(" ",TRUE,"La fluidité graphique réfère à la capacité de produire rapidement des configurations nouvelles selon une règle, ce qui sollicite la productivité visuomotrice, le balayage visuel et l’autocontrôle.","Elle a été évaluée à partir de conditions de production libre, de production sous contrainte et d’alternance.",IF(AND(_xlpm.baseCat&lt;&gt;"",_xlpm.prodCat&lt;&gt;"",_xlpm.scanCat&lt;&gt;"",_xlpm.switchCat&lt;&gt;""),"Chez "&amp;_xlpm.name&amp;", la production de base se situe "&amp;_xlpm.lvl(_xlpm.baseCat)&amp;", la productivité sous contrainte "&amp;_xlpm.lvl(_xlpm.prodCat)&amp;", le balayage visuel/inhibition "&amp;_xlpm.lvl(_xlpm.scanCat)&amp;" et la flexibilité visuospatiale "&amp;_xlpm.lvl(_xlpm.switchCat)&amp;".",""),IF(AND(_xlpm.globalCat&lt;&gt;"",_xlpm.flexCostCat&lt;&gt;"",_xlpm.goalErrCat&lt;&gt;"",_xlpm.repErrCat&lt;&gt;""),"La productivité globale se situe "&amp;_xlpm.lvl(_xlpm.globalCat)&amp;", le coût de flexibilité visuospatiale "&amp;_xlpm.lvl(_xlpm.flexCostCat)&amp;", les pertes de but "&amp;_xlpm.lvl(_xlpm.goalErrCat)&amp;" et les répétitions "&amp;_xlpm.lvl(_xlpm.repErrCat)&amp;".",""),IF(_xlpm.lowGlobal,"Chez "&amp;_xlpm.name&amp;", la production graphique demeure correcte, mais se densifie moins lorsque la contrainte augmente.","Chez "&amp;_xlpm.name&amp;", la fluence visuomotrice demeure globalement bien soutenue."),IF(_xlpm.errFrag,"Le monitoring paraît plus fragile, avec davantage de pertes de but ou de répétitions.","Les scores d’erreurs n’évoquent pas d’excès marqué de pertes de but ni de persévérations.")))</x:f>
        <x:v>La fluidité graphique réfère à la capacité de produire rapidement des configurations nouvelles selon une règle, ce qui sollicite la productivité visuomotrice, le balayage visuel et l’autocontrôle. Elle a été évaluée à partir de conditions de production libre, de production sous contrainte et d’alternance. Chez Mme Gingras, la production de base se situe dans la moyenne, la productivité sous contrainte en moyenne faible, le balayage visuel/inhibition dans la moyenne et la flexibilité visuospatiale dans la moyenne. La productivité globale se situe dans la moyenne, le coût de flexibilité visuospatiale dans la moyenne, les pertes de but dans la moyenne et les répétitions dans la moyenne. Chez Mme Gingras, la production graphique demeure correcte, mais se densifie moins lorsque la contrainte augmente. Les scores d’erreurs n’évoquent pas d’excès marqué de pertes de but ni de persévérations.</x:v>
      </x:c>
      <x:c r="C55" s="301"/>
      <x:c r="D55" s="301"/>
      <x:c r="E55" s="301"/>
      <x:c r="F55" s="302"/>
    </x:row>
    <x:row r="56">
      <x:c r="A56" s="300"/>
      <x:c r="B56" s="432"/>
      <x:c r="C56" s="301"/>
      <x:c r="D56" s="301"/>
      <x:c r="E56" s="301"/>
      <x:c r="F56" s="302"/>
    </x:row>
    <x:row r="57">
      <x:c r="A57" s="300"/>
      <x:c r="B57" s="432"/>
      <x:c r="C57" s="301"/>
      <x:c r="D57" s="301"/>
      <x:c r="E57" s="301"/>
      <x:c r="F57" s="302"/>
    </x:row>
    <x:row r="58">
      <x:c r="A58" s="293" t="s">
        <x:v>463</x:v>
      </x:c>
      <x:c r="B58" s="297"/>
      <x:c r="C58" s="295"/>
      <x:c r="D58" s="295"/>
      <x:c r="E58" s="295"/>
      <x:c r="F58" s="295"/>
    </x:row>
    <x:row r="59" ht="32">
      <x:c r="A59" s="269"/>
      <x:c r="B59" s="276" t="str">
        <x:f>_xlfn.LET(_xlpm.name,'Tableau de scores'!$C$3,_xlpm.stateCat,'Tableau de scores'!$J$120,_xlpm.traitCat,'Tableau de scores'!$J$121,_xlpm.detailTxt,IF(AND(_xlpm.stateCat=_xlpm.traitCat,_xlpm.stateCat&lt;&gt;""),"Chez "&amp;_xlpm.name&amp;", les manifestations anxieuses actuelles et la tendance anxieuse plus habituelle se situent toutes deux dans la catégorie "&amp;_xlpm.stateCat&amp;".",_xlfn.TEXTJOIN(" ",TRUE,IF(_xlpm.stateCat="","","Chez "&amp;_xlpm.name&amp;", les manifestations anxieuses actuelles se situent dans la catégorie "&amp;_xlpm.stateCat&amp;"."),IF(_xlpm.traitCat="","","La tendance anxieuse habituelle se situe dans la catégorie "&amp;_xlpm.traitCat&amp;"."))),_xlfn.TEXTJOIN(" ",TRUE,"Le contexte émotionnel renvoie ici à l’intensité des manifestations anxieuses ressenties dans l’immédiat ainsi qu’à la tendance anxieuse plus habituelle.","Il a été évalué à partir de deux questionnaires auto-rapportés distinguant l’état actuel et la disposition plus stable.",_xlpm.detailTxt,IF(AND(_xlpm.stateCat="",_xlpm.traitCat=""),"Les données disponibles ne permettent pas de qualifier de façon stable le niveau d’anxiété actuel et habituel.","")))</x:f>
        <x:v>Le contexte émotionnel renvoie ici à l’intensité des manifestations anxieuses ressenties dans l’immédiat ainsi qu’à la tendance anxieuse plus habituelle. Il a été évalué à partir de deux questionnaires auto-rapportés distinguant l’état actuel et la disposition plus stable. Chez Mme Gingras, les manifestations anxieuses actuelles et la tendance anxieuse plus habituelle se situent toutes deux dans la catégorie moyenne élevée.</x:v>
      </x:c>
      <x:c r="C59" s="263"/>
      <x:c r="D59" s="263"/>
      <x:c r="E59" s="263"/>
      <x:c r="F59" s="264"/>
    </x:row>
    <x:row r="60">
      <x:c r="A60" s="294" t="s">
        <x:v>464</x:v>
      </x:c>
      <x:c r="B60" s="295"/>
      <x:c r="C60" s="263"/>
      <x:c r="D60" s="263"/>
      <x:c r="E60" s="263"/>
      <x:c r="F60" s="263"/>
    </x:row>
    <x:row r="61" ht="32">
      <x:c r="A61" s="263"/>
      <x:c r="B61" s="276" t="str">
        <x:f>B5</x:f>
        <x:v>Le profil de Mme Gingras repose désormais sur les interprétations directes du Tableau de scores. Les principaux appuis concernent surtout Inhibition de réponse / résistance à l’interférence, Accès sémantique. Les zones de vigilance concernent surtout Mémoire visuospatiale différée, Organisation visuoconstructive / planification. Aucune moyenne intertests ni aucun score synthétique n’est utilisé.</x:v>
      </x:c>
      <x:c r="C61" s="263"/>
      <x:c r="D61" s="263"/>
      <x:c r="E61" s="263"/>
      <x:c r="F61" s="263"/>
    </x:row>
    <x:row r="62">
      <x:c r="A62" s="351"/>
      <x:c r="B62" s="350"/>
    </x:row>
    <x:row r="63">
      <x:c r="A63" s="353"/>
      <x:c r="B63" s="350"/>
    </x:row>
    <x:row r="64">
      <x:c r="A64" s="351"/>
      <x:c r="B64" s="350"/>
    </x:row>
    <x:row r="65">
      <x:c r="A65" s="351"/>
      <x:c r="B65" s="350"/>
    </x:row>
    <x:row r="66">
      <x:c r="A66" s="351"/>
      <x:c r="B66" s="350"/>
    </x:row>
    <x:row r="67">
      <x:c r="A67" s="354"/>
      <x:c r="B67" s="350"/>
    </x:row>
    <x:row r="69">
      <x:c r="B69" s="355"/>
    </x:row>
  </x:sheetData>
  <x:mergeCells>
    <x:mergeCell ref="B55:B57"/>
  </x:mergeCells>
  <x:pageMargins left="0.7" right="0.7" top="0.75" bottom="0.75" header="0.3" footer="0.3"/>
</x:worksheet>
</file>

<file path=xl/worksheets/sheet4.xml><?xml version="1.0" encoding="utf-8"?>
<x:worksheet xmlns:x="http://schemas.openxmlformats.org/spreadsheetml/2006/main">
  <x:sheetPr>
    <x:tabColor rgb="FF44546A"/>
  </x:sheetPr>
  <x:sheetViews>
    <x:sheetView showGridLines="0" workbookViewId="0"/>
  </x:sheetViews>
  <x:sheetFormatPr baseColWidth="10" defaultColWidth="8.83203125" defaultRowHeight="16"/>
  <x:cols>
    <x:col min="1" max="1" width="0" hidden="1" customWidth="1"/>
    <x:col min="2" max="2" width="53.83203125" style="352" customWidth="1"/>
    <x:col min="3" max="5" width="13.1640625" style="362" customWidth="1"/>
    <x:col min="6" max="6" width="15.1640625" style="362" customWidth="1"/>
    <x:col min="7" max="9" width="13.1640625" style="362" customWidth="1"/>
    <x:col min="10" max="10" width="67" style="352" customWidth="1"/>
    <x:col min="11" max="11" width="28.33203125" customWidth="1"/>
  </x:cols>
  <x:sheetData>
    <x:row r="3" ht="17"/>
    <x:row r="4" ht="18" customHeight="1">
      <x:c r="A4" s="374"/>
      <x:c r="B4" s="372" t="s">
        <x:v>465</x:v>
      </x:c>
      <x:c r="C4" s="372"/>
      <x:c r="D4" s="372"/>
      <x:c r="E4" s="372"/>
      <x:c r="F4" s="372"/>
      <x:c r="G4" s="372"/>
      <x:c r="H4" s="372"/>
      <x:c r="I4" s="372"/>
      <x:c r="J4" s="373"/>
    </x:row>
    <x:row r="5" s="356" customFormat="1" ht="18" customHeight="1">
      <x:c r="A5" s="376"/>
      <x:c r="B5" s="361"/>
      <x:c r="C5" s="433" t="s">
        <x:v>466</x:v>
      </x:c>
      <x:c r="D5" s="433"/>
      <x:c r="E5" s="433"/>
      <x:c r="F5" s="389" t="s">
        <x:v>467</x:v>
      </x:c>
      <x:c r="G5" s="434" t="s">
        <x:v>468</x:v>
      </x:c>
      <x:c r="H5" s="435"/>
      <x:c r="I5" s="436"/>
      <x:c r="J5" s="357"/>
    </x:row>
    <x:row r="6" s="356" customFormat="1" ht="18" customHeight="1">
      <x:c r="A6" s="375"/>
      <x:c r="B6" s="361"/>
      <x:c r="C6" s="383" t="s">
        <x:v>469</x:v>
      </x:c>
      <x:c r="D6" s="384" t="s">
        <x:v>470</x:v>
      </x:c>
      <x:c r="E6" s="384" t="s">
        <x:v>471</x:v>
      </x:c>
      <x:c r="F6" s="385" t="s">
        <x:v>472</x:v>
      </x:c>
      <x:c r="G6" s="386" t="s">
        <x:v>473</x:v>
      </x:c>
      <x:c r="H6" s="387" t="s">
        <x:v>474</x:v>
      </x:c>
      <x:c r="I6" s="388" t="s">
        <x:v>475</x:v>
      </x:c>
      <x:c r="J6" s="357"/>
    </x:row>
    <x:row r="7" ht="18" customHeight="1">
      <x:c r="A7" s="377"/>
      <x:c r="B7" s="364" t="s">
        <x:v>476</x:v>
      </x:c>
      <x:c r="C7" s="364"/>
      <x:c r="D7" s="365"/>
      <x:c r="E7" s="366"/>
      <x:c r="F7" s="364"/>
      <x:c r="G7" s="367"/>
      <x:c r="H7" s="365"/>
      <x:c r="I7" s="365"/>
      <x:c r="J7" s="368" t="s">
        <x:v>477</x:v>
      </x:c>
    </x:row>
    <x:row r="8" ht="18" customHeight="1">
      <x:c r="A8" s="377"/>
      <x:c r="B8" s="363" t="s">
        <x:v>478</x:v>
      </x:c>
      <x:c r="C8" s="363"/>
      <x:c r="D8" s="363"/>
      <x:c r="E8" s="363"/>
      <x:c r="F8" s="363"/>
      <x:c r="G8" s="363"/>
      <x:c r="H8" s="363"/>
      <x:c r="I8" s="363"/>
      <x:c r="J8" s="369"/>
    </x:row>
    <x:row r="9" ht="18" customHeight="1">
      <x:c r="A9" s="377">
        <x:v>12</x:v>
      </x:c>
      <x:c r="B9" s="361" t="str">
        <x:f>"Fonctionnement intellectuel général"</x:f>
        <x:v>Fonctionnement intellectuel général</x:v>
      </x:c>
      <x:c r="C9" s="378" t="str" cm="1">
        <x:f t="array" ref="C9">_xlfn.LET(_xlpm.x,LOWER(INDEX('Tableau de scores'!$J:$J,$A9)),IF(OR(_xlpm.x="",_xlpm.x="mesure descriptive"),"",IF(_xlpm.x="extrêmement faible","■","□")))</x:f>
        <x:v>□</x:v>
      </x:c>
      <x:c r="D9" s="378" t="str" cm="1">
        <x:f t="array" ref="D9">_xlfn.LET(_xlpm.x,LOWER(INDEX('Tableau de scores'!$J:$J,$A9)),IF(OR(_xlpm.x="",_xlpm.x="mesure descriptive"),"",IF(_xlpm.x="limite","■","□")))</x:f>
        <x:v>□</x:v>
      </x:c>
      <x:c r="E9" s="378" t="str" cm="1">
        <x:f t="array" ref="E9">_xlfn.LET(_xlpm.x,LOWER(INDEX('Tableau de scores'!$J:$J,$A9)),IF(OR(_xlpm.x="",_xlpm.x="mesure descriptive"),"",IF(_xlpm.x="moyenne faible","■","□")))</x:f>
        <x:v>□</x:v>
      </x:c>
      <x:c r="F9" s="378" t="str" cm="1">
        <x:f t="array" ref="F9">_xlfn.LET(_xlpm.x,LOWER(INDEX('Tableau de scores'!$J:$J,$A9)),IF(OR(_xlpm.x="",_xlpm.x="mesure descriptive"),"",IF(_xlpm.x="moyenne","■","□")))</x:f>
        <x:v>□</x:v>
      </x:c>
      <x:c r="G9" s="378" t="str" cm="1">
        <x:f t="array" ref="G9">_xlfn.LET(_xlpm.x,LOWER(INDEX('Tableau de scores'!$J:$J,$A9)),IF(OR(_xlpm.x="",_xlpm.x="mesure descriptive"),"",IF(_xlpm.x="moyenne élevée","■","□")))</x:f>
        <x:v>■</x:v>
      </x:c>
      <x:c r="H9" s="378" t="str" cm="1">
        <x:f t="array" ref="H9">_xlfn.LET(_xlpm.x,LOWER(INDEX('Tableau de scores'!$J:$J,$A9)),IF(OR(_xlpm.x="",_xlpm.x="mesure descriptive"),"",IF(_xlpm.x="supérieur","■","□")))</x:f>
        <x:v>□</x:v>
      </x:c>
      <x:c r="I9" s="379" t="str" cm="1">
        <x:f t="array" ref="I9">_xlfn.LET(_xlpm.x,LOWER(INDEX('Tableau de scores'!$J:$J,$A9)),IF(OR(_xlpm.x="",_xlpm.x="mesure descriptive"),"",IF(_xlpm.x="très supérieur","■","□")))</x:f>
        <x:v>□</x:v>
      </x:c>
      <x:c r="J9" s="358" t="str" cm="1">
        <x:f t="array" ref="J9">SUBSTITUTE(INDEX('Tableau de scores'!$C:$C,$A9),"— ","")</x:f>
        <x:v>QI total (WAIS-IV)</x:v>
      </x:c>
    </x:row>
    <x:row r="10" ht="18" customHeight="1">
      <x:c r="A10" s="377">
        <x:v>14</x:v>
      </x:c>
      <x:c r="B10" s="361" t="str">
        <x:f>"Compréhension verbale"</x:f>
        <x:v>Compréhension verbale</x:v>
      </x:c>
      <x:c r="C10" s="378" t="str" cm="1">
        <x:f t="array" ref="C10">_xlfn.LET(_xlpm.x,LOWER(INDEX('Tableau de scores'!$J:$J,$A10)),IF(OR(_xlpm.x="",_xlpm.x="mesure descriptive"),"",IF(_xlpm.x="extrêmement faible","■","□")))</x:f>
        <x:v>□</x:v>
      </x:c>
      <x:c r="D10" s="378" t="str" cm="1">
        <x:f t="array" ref="D10">_xlfn.LET(_xlpm.x,LOWER(INDEX('Tableau de scores'!$J:$J,$A10)),IF(OR(_xlpm.x="",_xlpm.x="mesure descriptive"),"",IF(_xlpm.x="limite","■","□")))</x:f>
        <x:v>□</x:v>
      </x:c>
      <x:c r="E10" s="378" t="str" cm="1">
        <x:f t="array" ref="E10">_xlfn.LET(_xlpm.x,LOWER(INDEX('Tableau de scores'!$J:$J,$A10)),IF(OR(_xlpm.x="",_xlpm.x="mesure descriptive"),"",IF(_xlpm.x="moyenne faible","■","□")))</x:f>
        <x:v>□</x:v>
      </x:c>
      <x:c r="F10" s="378" t="str" cm="1">
        <x:f t="array" ref="F10">_xlfn.LET(_xlpm.x,LOWER(INDEX('Tableau de scores'!$J:$J,$A10)),IF(OR(_xlpm.x="",_xlpm.x="mesure descriptive"),"",IF(_xlpm.x="moyenne","■","□")))</x:f>
        <x:v>□</x:v>
      </x:c>
      <x:c r="G10" s="378" t="str" cm="1">
        <x:f t="array" ref="G10">_xlfn.LET(_xlpm.x,LOWER(INDEX('Tableau de scores'!$J:$J,$A10)),IF(OR(_xlpm.x="",_xlpm.x="mesure descriptive"),"",IF(_xlpm.x="moyenne élevée","■","□")))</x:f>
        <x:v>■</x:v>
      </x:c>
      <x:c r="H10" s="378" t="str" cm="1">
        <x:f t="array" ref="H10">_xlfn.LET(_xlpm.x,LOWER(INDEX('Tableau de scores'!$J:$J,$A10)),IF(OR(_xlpm.x="",_xlpm.x="mesure descriptive"),"",IF(_xlpm.x="supérieur","■","□")))</x:f>
        <x:v>□</x:v>
      </x:c>
      <x:c r="I10" s="379" t="str" cm="1">
        <x:f t="array" ref="I10">_xlfn.LET(_xlpm.x,LOWER(INDEX('Tableau de scores'!$J:$J,$A10)),IF(OR(_xlpm.x="",_xlpm.x="mesure descriptive"),"",IF(_xlpm.x="très supérieur","■","□")))</x:f>
        <x:v>□</x:v>
      </x:c>
      <x:c r="J10" s="359" t="str" cm="1">
        <x:f t="array" ref="J10">SUBSTITUTE(INDEX('Tableau de scores'!$C:$C,$A10),"— ","")</x:f>
        <x:v>Indice de compréhension verbale (ICV)</x:v>
      </x:c>
    </x:row>
    <x:row r="11" ht="18" customHeight="1">
      <x:c r="A11" s="377">
        <x:v>15</x:v>
      </x:c>
      <x:c r="B11" s="361" t="str">
        <x:f>_xlfn.LET(_xlpm.x,INDEX('Tableau de scores'!$D:$D,15),IF(_xlpm.x="","",UPPER(LEFT(_xlpm.x,1))&amp;MID(_xlpm.x,2,999)))</x:f>
        <x:v>Abstraction verbale</x:v>
      </x:c>
      <x:c r="C11" s="378" t="str" cm="1">
        <x:f t="array" ref="C11">_xlfn.LET(_xlpm.x,LOWER(INDEX('Tableau de scores'!$J:$J,$A11)),IF(OR(_xlpm.x="",_xlpm.x="mesure descriptive"),"",IF(_xlpm.x="extrêmement faible","■","□")))</x:f>
        <x:v>□</x:v>
      </x:c>
      <x:c r="D11" s="378" t="str" cm="1">
        <x:f t="array" ref="D11">_xlfn.LET(_xlpm.x,LOWER(INDEX('Tableau de scores'!$J:$J,$A11)),IF(OR(_xlpm.x="",_xlpm.x="mesure descriptive"),"",IF(_xlpm.x="limite","■","□")))</x:f>
        <x:v>□</x:v>
      </x:c>
      <x:c r="E11" s="378" t="str" cm="1">
        <x:f t="array" ref="E11">_xlfn.LET(_xlpm.x,LOWER(INDEX('Tableau de scores'!$J:$J,$A11)),IF(OR(_xlpm.x="",_xlpm.x="mesure descriptive"),"",IF(_xlpm.x="moyenne faible","■","□")))</x:f>
        <x:v>□</x:v>
      </x:c>
      <x:c r="F11" s="378" t="str" cm="1">
        <x:f t="array" ref="F11">_xlfn.LET(_xlpm.x,LOWER(INDEX('Tableau de scores'!$J:$J,$A11)),IF(OR(_xlpm.x="",_xlpm.x="mesure descriptive"),"",IF(_xlpm.x="moyenne","■","□")))</x:f>
        <x:v>□</x:v>
      </x:c>
      <x:c r="G11" s="378" t="str" cm="1">
        <x:f t="array" ref="G11">_xlfn.LET(_xlpm.x,LOWER(INDEX('Tableau de scores'!$J:$J,$A11)),IF(OR(_xlpm.x="",_xlpm.x="mesure descriptive"),"",IF(_xlpm.x="moyenne élevée","■","□")))</x:f>
        <x:v>□</x:v>
      </x:c>
      <x:c r="H11" s="378" t="str" cm="1">
        <x:f t="array" ref="H11">_xlfn.LET(_xlpm.x,LOWER(INDEX('Tableau de scores'!$J:$J,$A11)),IF(OR(_xlpm.x="",_xlpm.x="mesure descriptive"),"",IF(_xlpm.x="supérieur","■","□")))</x:f>
        <x:v>■</x:v>
      </x:c>
      <x:c r="I11" s="379" t="str" cm="1">
        <x:f t="array" ref="I11">_xlfn.LET(_xlpm.x,LOWER(INDEX('Tableau de scores'!$J:$J,$A11)),IF(OR(_xlpm.x="",_xlpm.x="mesure descriptive"),"",IF(_xlpm.x="très supérieur","■","□")))</x:f>
        <x:v>□</x:v>
      </x:c>
      <x:c r="J11" s="359" t="str" cm="1">
        <x:f t="array" ref="J11">SUBSTITUTE(INDEX('Tableau de scores'!$C:$C,$A11),"— ","")</x:f>
        <x:v>Similitudes (WAIS-IV)</x:v>
      </x:c>
    </x:row>
    <x:row r="12" ht="18" customHeight="1">
      <x:c r="A12" s="377">
        <x:v>16</x:v>
      </x:c>
      <x:c r="B12" s="361" t="str">
        <x:f>_xlfn.LET(_xlpm.x,INDEX('Tableau de scores'!$D:$D,16),IF(_xlpm.x="","",UPPER(LEFT(_xlpm.x,1))&amp;MID(_xlpm.x,2,999)))</x:f>
        <x:v>Connaissances lexicales</x:v>
      </x:c>
      <x:c r="C12" s="378" t="str" cm="1">
        <x:f t="array" ref="C12">_xlfn.LET(_xlpm.x,LOWER(INDEX('Tableau de scores'!$J:$J,$A12)),IF(OR(_xlpm.x="",_xlpm.x="mesure descriptive"),"",IF(_xlpm.x="extrêmement faible","■","□")))</x:f>
        <x:v>□</x:v>
      </x:c>
      <x:c r="D12" s="378" t="str" cm="1">
        <x:f t="array" ref="D12">_xlfn.LET(_xlpm.x,LOWER(INDEX('Tableau de scores'!$J:$J,$A12)),IF(OR(_xlpm.x="",_xlpm.x="mesure descriptive"),"",IF(_xlpm.x="limite","■","□")))</x:f>
        <x:v>□</x:v>
      </x:c>
      <x:c r="E12" s="378" t="str" cm="1">
        <x:f t="array" ref="E12">_xlfn.LET(_xlpm.x,LOWER(INDEX('Tableau de scores'!$J:$J,$A12)),IF(OR(_xlpm.x="",_xlpm.x="mesure descriptive"),"",IF(_xlpm.x="moyenne faible","■","□")))</x:f>
        <x:v>□</x:v>
      </x:c>
      <x:c r="F12" s="378" t="str" cm="1">
        <x:f t="array" ref="F12">_xlfn.LET(_xlpm.x,LOWER(INDEX('Tableau de scores'!$J:$J,$A12)),IF(OR(_xlpm.x="",_xlpm.x="mesure descriptive"),"",IF(_xlpm.x="moyenne","■","□")))</x:f>
        <x:v>□</x:v>
      </x:c>
      <x:c r="G12" s="378" t="str" cm="1">
        <x:f t="array" ref="G12">_xlfn.LET(_xlpm.x,LOWER(INDEX('Tableau de scores'!$J:$J,$A12)),IF(OR(_xlpm.x="",_xlpm.x="mesure descriptive"),"",IF(_xlpm.x="moyenne élevée","■","□")))</x:f>
        <x:v>■</x:v>
      </x:c>
      <x:c r="H12" s="378" t="str" cm="1">
        <x:f t="array" ref="H12">_xlfn.LET(_xlpm.x,LOWER(INDEX('Tableau de scores'!$J:$J,$A12)),IF(OR(_xlpm.x="",_xlpm.x="mesure descriptive"),"",IF(_xlpm.x="supérieur","■","□")))</x:f>
        <x:v>□</x:v>
      </x:c>
      <x:c r="I12" s="379" t="str" cm="1">
        <x:f t="array" ref="I12">_xlfn.LET(_xlpm.x,LOWER(INDEX('Tableau de scores'!$J:$J,$A12)),IF(OR(_xlpm.x="",_xlpm.x="mesure descriptive"),"",IF(_xlpm.x="très supérieur","■","□")))</x:f>
        <x:v>□</x:v>
      </x:c>
      <x:c r="J12" s="359" t="str" cm="1">
        <x:f t="array" ref="J12">SUBSTITUTE(INDEX('Tableau de scores'!$C:$C,$A12),"— ","")</x:f>
        <x:v>Vocabulaire (WAIS-IV)</x:v>
      </x:c>
    </x:row>
    <x:row r="13" ht="18" customHeight="1">
      <x:c r="A13" s="377">
        <x:v>17</x:v>
      </x:c>
      <x:c r="B13" s="361" t="str">
        <x:f>_xlfn.LET(_xlpm.x,INDEX('Tableau de scores'!$D:$D,17),IF(_xlpm.x="","",UPPER(LEFT(_xlpm.x,1))&amp;MID(_xlpm.x,2,999)))</x:f>
        <x:v>Connaissances générales</x:v>
      </x:c>
      <x:c r="C13" s="378" t="str" cm="1">
        <x:f t="array" ref="C13">_xlfn.LET(_xlpm.x,LOWER(INDEX('Tableau de scores'!$J:$J,$A13)),IF(OR(_xlpm.x="",_xlpm.x="mesure descriptive"),"",IF(_xlpm.x="extrêmement faible","■","□")))</x:f>
        <x:v>□</x:v>
      </x:c>
      <x:c r="D13" s="378" t="str" cm="1">
        <x:f t="array" ref="D13">_xlfn.LET(_xlpm.x,LOWER(INDEX('Tableau de scores'!$J:$J,$A13)),IF(OR(_xlpm.x="",_xlpm.x="mesure descriptive"),"",IF(_xlpm.x="limite","■","□")))</x:f>
        <x:v>□</x:v>
      </x:c>
      <x:c r="E13" s="378" t="str" cm="1">
        <x:f t="array" ref="E13">_xlfn.LET(_xlpm.x,LOWER(INDEX('Tableau de scores'!$J:$J,$A13)),IF(OR(_xlpm.x="",_xlpm.x="mesure descriptive"),"",IF(_xlpm.x="moyenne faible","■","□")))</x:f>
        <x:v>□</x:v>
      </x:c>
      <x:c r="F13" s="378" t="str" cm="1">
        <x:f t="array" ref="F13">_xlfn.LET(_xlpm.x,LOWER(INDEX('Tableau de scores'!$J:$J,$A13)),IF(OR(_xlpm.x="",_xlpm.x="mesure descriptive"),"",IF(_xlpm.x="moyenne","■","□")))</x:f>
        <x:v>■</x:v>
      </x:c>
      <x:c r="G13" s="378" t="str" cm="1">
        <x:f t="array" ref="G13">_xlfn.LET(_xlpm.x,LOWER(INDEX('Tableau de scores'!$J:$J,$A13)),IF(OR(_xlpm.x="",_xlpm.x="mesure descriptive"),"",IF(_xlpm.x="moyenne élevée","■","□")))</x:f>
        <x:v>□</x:v>
      </x:c>
      <x:c r="H13" s="378" t="str" cm="1">
        <x:f t="array" ref="H13">_xlfn.LET(_xlpm.x,LOWER(INDEX('Tableau de scores'!$J:$J,$A13)),IF(OR(_xlpm.x="",_xlpm.x="mesure descriptive"),"",IF(_xlpm.x="supérieur","■","□")))</x:f>
        <x:v>□</x:v>
      </x:c>
      <x:c r="I13" s="379" t="str" cm="1">
        <x:f t="array" ref="I13">_xlfn.LET(_xlpm.x,LOWER(INDEX('Tableau de scores'!$J:$J,$A13)),IF(OR(_xlpm.x="",_xlpm.x="mesure descriptive"),"",IF(_xlpm.x="très supérieur","■","□")))</x:f>
        <x:v>□</x:v>
      </x:c>
      <x:c r="J13" s="359" t="str" cm="1">
        <x:f t="array" ref="J13">SUBSTITUTE(INDEX('Tableau de scores'!$C:$C,$A13),"— ","")</x:f>
        <x:v>Connaissances (WAIS-IV)</x:v>
      </x:c>
    </x:row>
    <x:row r="14" ht="18" customHeight="1">
      <x:c r="A14" s="377">
        <x:v>19</x:v>
      </x:c>
      <x:c r="B14" s="361" t="str">
        <x:f>"Raisonnement visuospatial"</x:f>
        <x:v>Raisonnement visuospatial</x:v>
      </x:c>
      <x:c r="C14" s="378" t="str" cm="1">
        <x:f t="array" ref="C14">_xlfn.LET(_xlpm.x,LOWER(INDEX('Tableau de scores'!$J:$J,$A14)),IF(OR(_xlpm.x="",_xlpm.x="mesure descriptive"),"",IF(_xlpm.x="extrêmement faible","■","□")))</x:f>
        <x:v>□</x:v>
      </x:c>
      <x:c r="D14" s="378" t="str" cm="1">
        <x:f t="array" ref="D14">_xlfn.LET(_xlpm.x,LOWER(INDEX('Tableau de scores'!$J:$J,$A14)),IF(OR(_xlpm.x="",_xlpm.x="mesure descriptive"),"",IF(_xlpm.x="limite","■","□")))</x:f>
        <x:v>□</x:v>
      </x:c>
      <x:c r="E14" s="378" t="str" cm="1">
        <x:f t="array" ref="E14">_xlfn.LET(_xlpm.x,LOWER(INDEX('Tableau de scores'!$J:$J,$A14)),IF(OR(_xlpm.x="",_xlpm.x="mesure descriptive"),"",IF(_xlpm.x="moyenne faible","■","□")))</x:f>
        <x:v>□</x:v>
      </x:c>
      <x:c r="F14" s="378" t="str" cm="1">
        <x:f t="array" ref="F14">_xlfn.LET(_xlpm.x,LOWER(INDEX('Tableau de scores'!$J:$J,$A14)),IF(OR(_xlpm.x="",_xlpm.x="mesure descriptive"),"",IF(_xlpm.x="moyenne","■","□")))</x:f>
        <x:v>■</x:v>
      </x:c>
      <x:c r="G14" s="378" t="str" cm="1">
        <x:f t="array" ref="G14">_xlfn.LET(_xlpm.x,LOWER(INDEX('Tableau de scores'!$J:$J,$A14)),IF(OR(_xlpm.x="",_xlpm.x="mesure descriptive"),"",IF(_xlpm.x="moyenne élevée","■","□")))</x:f>
        <x:v>□</x:v>
      </x:c>
      <x:c r="H14" s="378" t="str" cm="1">
        <x:f t="array" ref="H14">_xlfn.LET(_xlpm.x,LOWER(INDEX('Tableau de scores'!$J:$J,$A14)),IF(OR(_xlpm.x="",_xlpm.x="mesure descriptive"),"",IF(_xlpm.x="supérieur","■","□")))</x:f>
        <x:v>□</x:v>
      </x:c>
      <x:c r="I14" s="379" t="str" cm="1">
        <x:f t="array" ref="I14">_xlfn.LET(_xlpm.x,LOWER(INDEX('Tableau de scores'!$J:$J,$A14)),IF(OR(_xlpm.x="",_xlpm.x="mesure descriptive"),"",IF(_xlpm.x="très supérieur","■","□")))</x:f>
        <x:v>□</x:v>
      </x:c>
      <x:c r="J14" s="359" t="str" cm="1">
        <x:f t="array" ref="J14">SUBSTITUTE(INDEX('Tableau de scores'!$C:$C,$A14),"— ","")</x:f>
        <x:v>Indice de raisonnement perceptif (IRP)</x:v>
      </x:c>
    </x:row>
    <x:row r="15" ht="18" customHeight="1">
      <x:c r="A15" s="377">
        <x:v>20</x:v>
      </x:c>
      <x:c r="B15" s="361" t="str">
        <x:f>_xlfn.LET(_xlpm.x,INDEX('Tableau de scores'!$D:$D,20),IF(_xlpm.x="","",UPPER(LEFT(_xlpm.x,1))&amp;MID(_xlpm.x,2,999)))</x:f>
        <x:v>Analyse visuospatiale / visuoconstruction</x:v>
      </x:c>
      <x:c r="C15" s="378" t="str" cm="1">
        <x:f t="array" ref="C15">_xlfn.LET(_xlpm.x,LOWER(INDEX('Tableau de scores'!$J:$J,$A15)),IF(OR(_xlpm.x="",_xlpm.x="mesure descriptive"),"",IF(_xlpm.x="extrêmement faible","■","□")))</x:f>
        <x:v>□</x:v>
      </x:c>
      <x:c r="D15" s="378" t="str" cm="1">
        <x:f t="array" ref="D15">_xlfn.LET(_xlpm.x,LOWER(INDEX('Tableau de scores'!$J:$J,$A15)),IF(OR(_xlpm.x="",_xlpm.x="mesure descriptive"),"",IF(_xlpm.x="limite","■","□")))</x:f>
        <x:v>□</x:v>
      </x:c>
      <x:c r="E15" s="378" t="str" cm="1">
        <x:f t="array" ref="E15">_xlfn.LET(_xlpm.x,LOWER(INDEX('Tableau de scores'!$J:$J,$A15)),IF(OR(_xlpm.x="",_xlpm.x="mesure descriptive"),"",IF(_xlpm.x="moyenne faible","■","□")))</x:f>
        <x:v>■</x:v>
      </x:c>
      <x:c r="F15" s="378" t="str" cm="1">
        <x:f t="array" ref="F15">_xlfn.LET(_xlpm.x,LOWER(INDEX('Tableau de scores'!$J:$J,$A15)),IF(OR(_xlpm.x="",_xlpm.x="mesure descriptive"),"",IF(_xlpm.x="moyenne","■","□")))</x:f>
        <x:v>□</x:v>
      </x:c>
      <x:c r="G15" s="378" t="str" cm="1">
        <x:f t="array" ref="G15">_xlfn.LET(_xlpm.x,LOWER(INDEX('Tableau de scores'!$J:$J,$A15)),IF(OR(_xlpm.x="",_xlpm.x="mesure descriptive"),"",IF(_xlpm.x="moyenne élevée","■","□")))</x:f>
        <x:v>□</x:v>
      </x:c>
      <x:c r="H15" s="378" t="str" cm="1">
        <x:f t="array" ref="H15">_xlfn.LET(_xlpm.x,LOWER(INDEX('Tableau de scores'!$J:$J,$A15)),IF(OR(_xlpm.x="",_xlpm.x="mesure descriptive"),"",IF(_xlpm.x="supérieur","■","□")))</x:f>
        <x:v>□</x:v>
      </x:c>
      <x:c r="I15" s="379" t="str" cm="1">
        <x:f t="array" ref="I15">_xlfn.LET(_xlpm.x,LOWER(INDEX('Tableau de scores'!$J:$J,$A15)),IF(OR(_xlpm.x="",_xlpm.x="mesure descriptive"),"",IF(_xlpm.x="très supérieur","■","□")))</x:f>
        <x:v>□</x:v>
      </x:c>
      <x:c r="J15" s="359" t="str" cm="1">
        <x:f t="array" ref="J15">SUBSTITUTE(INDEX('Tableau de scores'!$C:$C,$A15),"— ","")</x:f>
        <x:v>Blocs (WAIS-IV)</x:v>
      </x:c>
    </x:row>
    <x:row r="16" ht="18" customHeight="1">
      <x:c r="A16" s="377">
        <x:v>21</x:v>
      </x:c>
      <x:c r="B16" s="361" t="str">
        <x:f>_xlfn.LET(_xlpm.x,INDEX('Tableau de scores'!$D:$D,21),IF(_xlpm.x="","",UPPER(LEFT(_xlpm.x,1))&amp;MID(_xlpm.x,2,999)))</x:f>
        <x:v>Raisonnement fluide</x:v>
      </x:c>
      <x:c r="C16" s="378" t="str" cm="1">
        <x:f t="array" ref="C16">_xlfn.LET(_xlpm.x,LOWER(INDEX('Tableau de scores'!$J:$J,$A16)),IF(OR(_xlpm.x="",_xlpm.x="mesure descriptive"),"",IF(_xlpm.x="extrêmement faible","■","□")))</x:f>
        <x:v>□</x:v>
      </x:c>
      <x:c r="D16" s="378" t="str" cm="1">
        <x:f t="array" ref="D16">_xlfn.LET(_xlpm.x,LOWER(INDEX('Tableau de scores'!$J:$J,$A16)),IF(OR(_xlpm.x="",_xlpm.x="mesure descriptive"),"",IF(_xlpm.x="limite","■","□")))</x:f>
        <x:v>□</x:v>
      </x:c>
      <x:c r="E16" s="378" t="str" cm="1">
        <x:f t="array" ref="E16">_xlfn.LET(_xlpm.x,LOWER(INDEX('Tableau de scores'!$J:$J,$A16)),IF(OR(_xlpm.x="",_xlpm.x="mesure descriptive"),"",IF(_xlpm.x="moyenne faible","■","□")))</x:f>
        <x:v>□</x:v>
      </x:c>
      <x:c r="F16" s="378" t="str" cm="1">
        <x:f t="array" ref="F16">_xlfn.LET(_xlpm.x,LOWER(INDEX('Tableau de scores'!$J:$J,$A16)),IF(OR(_xlpm.x="",_xlpm.x="mesure descriptive"),"",IF(_xlpm.x="moyenne","■","□")))</x:f>
        <x:v>□</x:v>
      </x:c>
      <x:c r="G16" s="378" t="str" cm="1">
        <x:f t="array" ref="G16">_xlfn.LET(_xlpm.x,LOWER(INDEX('Tableau de scores'!$J:$J,$A16)),IF(OR(_xlpm.x="",_xlpm.x="mesure descriptive"),"",IF(_xlpm.x="moyenne élevée","■","□")))</x:f>
        <x:v>■</x:v>
      </x:c>
      <x:c r="H16" s="378" t="str" cm="1">
        <x:f t="array" ref="H16">_xlfn.LET(_xlpm.x,LOWER(INDEX('Tableau de scores'!$J:$J,$A16)),IF(OR(_xlpm.x="",_xlpm.x="mesure descriptive"),"",IF(_xlpm.x="supérieur","■","□")))</x:f>
        <x:v>□</x:v>
      </x:c>
      <x:c r="I16" s="379" t="str" cm="1">
        <x:f t="array" ref="I16">_xlfn.LET(_xlpm.x,LOWER(INDEX('Tableau de scores'!$J:$J,$A16)),IF(OR(_xlpm.x="",_xlpm.x="mesure descriptive"),"",IF(_xlpm.x="très supérieur","■","□")))</x:f>
        <x:v>□</x:v>
      </x:c>
      <x:c r="J16" s="359" t="str" cm="1">
        <x:f t="array" ref="J16">SUBSTITUTE(INDEX('Tableau de scores'!$C:$C,$A16),"— ","")</x:f>
        <x:v>Matrices (WAIS-IV)</x:v>
      </x:c>
    </x:row>
    <x:row r="17" ht="18" customHeight="1">
      <x:c r="A17" s="377">
        <x:v>22</x:v>
      </x:c>
      <x:c r="B17" s="361" t="str">
        <x:f>_xlfn.LET(_xlpm.x,INDEX('Tableau de scores'!$D:$D,22),IF(_xlpm.x="","",UPPER(LEFT(_xlpm.x,1))&amp;MID(_xlpm.x,2,999)))</x:f>
        <x:v>Analyse visuospatiale / rotation mentale</x:v>
      </x:c>
      <x:c r="C17" s="378" t="str" cm="1">
        <x:f t="array" ref="C17">_xlfn.LET(_xlpm.x,LOWER(INDEX('Tableau de scores'!$J:$J,$A17)),IF(OR(_xlpm.x="",_xlpm.x="mesure descriptive"),"",IF(_xlpm.x="extrêmement faible","■","□")))</x:f>
        <x:v>□</x:v>
      </x:c>
      <x:c r="D17" s="378" t="str" cm="1">
        <x:f t="array" ref="D17">_xlfn.LET(_xlpm.x,LOWER(INDEX('Tableau de scores'!$J:$J,$A17)),IF(OR(_xlpm.x="",_xlpm.x="mesure descriptive"),"",IF(_xlpm.x="limite","■","□")))</x:f>
        <x:v>□</x:v>
      </x:c>
      <x:c r="E17" s="378" t="str" cm="1">
        <x:f t="array" ref="E17">_xlfn.LET(_xlpm.x,LOWER(INDEX('Tableau de scores'!$J:$J,$A17)),IF(OR(_xlpm.x="",_xlpm.x="mesure descriptive"),"",IF(_xlpm.x="moyenne faible","■","□")))</x:f>
        <x:v>□</x:v>
      </x:c>
      <x:c r="F17" s="378" t="str" cm="1">
        <x:f t="array" ref="F17">_xlfn.LET(_xlpm.x,LOWER(INDEX('Tableau de scores'!$J:$J,$A17)),IF(OR(_xlpm.x="",_xlpm.x="mesure descriptive"),"",IF(_xlpm.x="moyenne","■","□")))</x:f>
        <x:v>□</x:v>
      </x:c>
      <x:c r="G17" s="378" t="str" cm="1">
        <x:f t="array" ref="G17">_xlfn.LET(_xlpm.x,LOWER(INDEX('Tableau de scores'!$J:$J,$A17)),IF(OR(_xlpm.x="",_xlpm.x="mesure descriptive"),"",IF(_xlpm.x="moyenne élevée","■","□")))</x:f>
        <x:v>■</x:v>
      </x:c>
      <x:c r="H17" s="378" t="str" cm="1">
        <x:f t="array" ref="H17">_xlfn.LET(_xlpm.x,LOWER(INDEX('Tableau de scores'!$J:$J,$A17)),IF(OR(_xlpm.x="",_xlpm.x="mesure descriptive"),"",IF(_xlpm.x="supérieur","■","□")))</x:f>
        <x:v>□</x:v>
      </x:c>
      <x:c r="I17" s="379" t="str" cm="1">
        <x:f t="array" ref="I17">_xlfn.LET(_xlpm.x,LOWER(INDEX('Tableau de scores'!$J:$J,$A17)),IF(OR(_xlpm.x="",_xlpm.x="mesure descriptive"),"",IF(_xlpm.x="très supérieur","■","□")))</x:f>
        <x:v>□</x:v>
      </x:c>
      <x:c r="J17" s="359" t="str" cm="1">
        <x:f t="array" ref="J17">SUBSTITUTE(INDEX('Tableau de scores'!$C:$C,$A17),"— ","")</x:f>
        <x:v>Casse-têtes visuels (WAIS-IV)</x:v>
      </x:c>
    </x:row>
    <x:row r="18" ht="18" customHeight="1">
      <x:c r="A18" s="377">
        <x:v>31</x:v>
      </x:c>
      <x:c r="B18" s="361" t="str">
        <x:f>"Vitesse de traitement"</x:f>
        <x:v>Vitesse de traitement</x:v>
      </x:c>
      <x:c r="C18" s="378" t="str" cm="1">
        <x:f t="array" ref="C18">_xlfn.LET(_xlpm.x,LOWER(INDEX('Tableau de scores'!$J:$J,$A18)),IF(OR(_xlpm.x="",_xlpm.x="mesure descriptive"),"",IF(_xlpm.x="extrêmement faible","■","□")))</x:f>
        <x:v>□</x:v>
      </x:c>
      <x:c r="D18" s="378" t="str" cm="1">
        <x:f t="array" ref="D18">_xlfn.LET(_xlpm.x,LOWER(INDEX('Tableau de scores'!$J:$J,$A18)),IF(OR(_xlpm.x="",_xlpm.x="mesure descriptive"),"",IF(_xlpm.x="limite","■","□")))</x:f>
        <x:v>□</x:v>
      </x:c>
      <x:c r="E18" s="378" t="str" cm="1">
        <x:f t="array" ref="E18">_xlfn.LET(_xlpm.x,LOWER(INDEX('Tableau de scores'!$J:$J,$A18)),IF(OR(_xlpm.x="",_xlpm.x="mesure descriptive"),"",IF(_xlpm.x="moyenne faible","■","□")))</x:f>
        <x:v>□</x:v>
      </x:c>
      <x:c r="F18" s="378" t="str" cm="1">
        <x:f t="array" ref="F18">_xlfn.LET(_xlpm.x,LOWER(INDEX('Tableau de scores'!$J:$J,$A18)),IF(OR(_xlpm.x="",_xlpm.x="mesure descriptive"),"",IF(_xlpm.x="moyenne","■","□")))</x:f>
        <x:v>■</x:v>
      </x:c>
      <x:c r="G18" s="378" t="str" cm="1">
        <x:f t="array" ref="G18">_xlfn.LET(_xlpm.x,LOWER(INDEX('Tableau de scores'!$J:$J,$A18)),IF(OR(_xlpm.x="",_xlpm.x="mesure descriptive"),"",IF(_xlpm.x="moyenne élevée","■","□")))</x:f>
        <x:v>□</x:v>
      </x:c>
      <x:c r="H18" s="378" t="str" cm="1">
        <x:f t="array" ref="H18">_xlfn.LET(_xlpm.x,LOWER(INDEX('Tableau de scores'!$J:$J,$A18)),IF(OR(_xlpm.x="",_xlpm.x="mesure descriptive"),"",IF(_xlpm.x="supérieur","■","□")))</x:f>
        <x:v>□</x:v>
      </x:c>
      <x:c r="I18" s="379" t="str" cm="1">
        <x:f t="array" ref="I18">_xlfn.LET(_xlpm.x,LOWER(INDEX('Tableau de scores'!$J:$J,$A18)),IF(OR(_xlpm.x="",_xlpm.x="mesure descriptive"),"",IF(_xlpm.x="très supérieur","■","□")))</x:f>
        <x:v>□</x:v>
      </x:c>
      <x:c r="J18" s="359" t="str" cm="1">
        <x:f t="array" ref="J18">SUBSTITUTE(INDEX('Tableau de scores'!$C:$C,$A18),"— ","")</x:f>
        <x:v>Indice de vitesse de traitement (IVT)</x:v>
      </x:c>
    </x:row>
    <x:row r="19" ht="18" customHeight="1">
      <x:c r="A19" s="377">
        <x:v>32</x:v>
      </x:c>
      <x:c r="B19" s="361" t="str">
        <x:f>_xlfn.LET(_xlpm.x,INDEX('Tableau de scores'!$D:$D,32),IF(_xlpm.x="","",UPPER(LEFT(_xlpm.x,1))&amp;MID(_xlpm.x,2,999)))</x:f>
        <x:v>Balayage visuel / graphomotricité</x:v>
      </x:c>
      <x:c r="C19" s="378" t="str" cm="1">
        <x:f t="array" ref="C19">_xlfn.LET(_xlpm.x,LOWER(INDEX('Tableau de scores'!$J:$J,$A19)),IF(OR(_xlpm.x="",_xlpm.x="mesure descriptive"),"",IF(_xlpm.x="extrêmement faible","■","□")))</x:f>
        <x:v>□</x:v>
      </x:c>
      <x:c r="D19" s="378" t="str" cm="1">
        <x:f t="array" ref="D19">_xlfn.LET(_xlpm.x,LOWER(INDEX('Tableau de scores'!$J:$J,$A19)),IF(OR(_xlpm.x="",_xlpm.x="mesure descriptive"),"",IF(_xlpm.x="limite","■","□")))</x:f>
        <x:v>□</x:v>
      </x:c>
      <x:c r="E19" s="378" t="str" cm="1">
        <x:f t="array" ref="E19">_xlfn.LET(_xlpm.x,LOWER(INDEX('Tableau de scores'!$J:$J,$A19)),IF(OR(_xlpm.x="",_xlpm.x="mesure descriptive"),"",IF(_xlpm.x="moyenne faible","■","□")))</x:f>
        <x:v>□</x:v>
      </x:c>
      <x:c r="F19" s="378" t="str" cm="1">
        <x:f t="array" ref="F19">_xlfn.LET(_xlpm.x,LOWER(INDEX('Tableau de scores'!$J:$J,$A19)),IF(OR(_xlpm.x="",_xlpm.x="mesure descriptive"),"",IF(_xlpm.x="moyenne","■","□")))</x:f>
        <x:v>□</x:v>
      </x:c>
      <x:c r="G19" s="378" t="str" cm="1">
        <x:f t="array" ref="G19">_xlfn.LET(_xlpm.x,LOWER(INDEX('Tableau de scores'!$J:$J,$A19)),IF(OR(_xlpm.x="",_xlpm.x="mesure descriptive"),"",IF(_xlpm.x="moyenne élevée","■","□")))</x:f>
        <x:v>■</x:v>
      </x:c>
      <x:c r="H19" s="378" t="str" cm="1">
        <x:f t="array" ref="H19">_xlfn.LET(_xlpm.x,LOWER(INDEX('Tableau de scores'!$J:$J,$A19)),IF(OR(_xlpm.x="",_xlpm.x="mesure descriptive"),"",IF(_xlpm.x="supérieur","■","□")))</x:f>
        <x:v>□</x:v>
      </x:c>
      <x:c r="I19" s="379" t="str" cm="1">
        <x:f t="array" ref="I19">_xlfn.LET(_xlpm.x,LOWER(INDEX('Tableau de scores'!$J:$J,$A19)),IF(OR(_xlpm.x="",_xlpm.x="mesure descriptive"),"",IF(_xlpm.x="très supérieur","■","□")))</x:f>
        <x:v>□</x:v>
      </x:c>
      <x:c r="J19" s="359" t="str" cm="1">
        <x:f t="array" ref="J19">SUBSTITUTE(INDEX('Tableau de scores'!$C:$C,$A19),"— ","")</x:f>
        <x:v>Code (WAIS-IV)</x:v>
      </x:c>
    </x:row>
    <x:row r="20" ht="18" customHeight="1">
      <x:c r="A20" s="377">
        <x:v>33</x:v>
      </x:c>
      <x:c r="B20" s="361" t="str">
        <x:f>_xlfn.LET(_xlpm.x,INDEX('Tableau de scores'!$D:$D,33),IF(_xlpm.x="","",UPPER(LEFT(_xlpm.x,1))&amp;MID(_xlpm.x,2,999)))</x:f>
        <x:v>Attention sélective / balayage visuel</x:v>
      </x:c>
      <x:c r="C20" s="378" t="str" cm="1">
        <x:f t="array" ref="C20">_xlfn.LET(_xlpm.x,LOWER(INDEX('Tableau de scores'!$J:$J,$A20)),IF(OR(_xlpm.x="",_xlpm.x="mesure descriptive"),"",IF(_xlpm.x="extrêmement faible","■","□")))</x:f>
        <x:v>□</x:v>
      </x:c>
      <x:c r="D20" s="378" t="str" cm="1">
        <x:f t="array" ref="D20">_xlfn.LET(_xlpm.x,LOWER(INDEX('Tableau de scores'!$J:$J,$A20)),IF(OR(_xlpm.x="",_xlpm.x="mesure descriptive"),"",IF(_xlpm.x="limite","■","□")))</x:f>
        <x:v>□</x:v>
      </x:c>
      <x:c r="E20" s="378" t="str" cm="1">
        <x:f t="array" ref="E20">_xlfn.LET(_xlpm.x,LOWER(INDEX('Tableau de scores'!$J:$J,$A20)),IF(OR(_xlpm.x="",_xlpm.x="mesure descriptive"),"",IF(_xlpm.x="moyenne faible","■","□")))</x:f>
        <x:v>□</x:v>
      </x:c>
      <x:c r="F20" s="378" t="str" cm="1">
        <x:f t="array" ref="F20">_xlfn.LET(_xlpm.x,LOWER(INDEX('Tableau de scores'!$J:$J,$A20)),IF(OR(_xlpm.x="",_xlpm.x="mesure descriptive"),"",IF(_xlpm.x="moyenne","■","□")))</x:f>
        <x:v>■</x:v>
      </x:c>
      <x:c r="G20" s="378" t="str" cm="1">
        <x:f t="array" ref="G20">_xlfn.LET(_xlpm.x,LOWER(INDEX('Tableau de scores'!$J:$J,$A20)),IF(OR(_xlpm.x="",_xlpm.x="mesure descriptive"),"",IF(_xlpm.x="moyenne élevée","■","□")))</x:f>
        <x:v>□</x:v>
      </x:c>
      <x:c r="H20" s="378" t="str" cm="1">
        <x:f t="array" ref="H20">_xlfn.LET(_xlpm.x,LOWER(INDEX('Tableau de scores'!$J:$J,$A20)),IF(OR(_xlpm.x="",_xlpm.x="mesure descriptive"),"",IF(_xlpm.x="supérieur","■","□")))</x:f>
        <x:v>□</x:v>
      </x:c>
      <x:c r="I20" s="379" t="str" cm="1">
        <x:f t="array" ref="I20">_xlfn.LET(_xlpm.x,LOWER(INDEX('Tableau de scores'!$J:$J,$A20)),IF(OR(_xlpm.x="",_xlpm.x="mesure descriptive"),"",IF(_xlpm.x="très supérieur","■","□")))</x:f>
        <x:v>□</x:v>
      </x:c>
      <x:c r="J20" s="359" t="str" cm="1">
        <x:f t="array" ref="J20">SUBSTITUTE(INDEX('Tableau de scores'!$C:$C,$A20),"— ","")</x:f>
        <x:v>Repérage de symboles (WAIS-IV)</x:v>
      </x:c>
    </x:row>
    <x:row r="21" ht="18" customHeight="1">
      <x:c r="A21" s="377"/>
      <x:c r="B21" s="370" t="s">
        <x:v>479</x:v>
      </x:c>
      <x:c r="C21" s="380"/>
      <x:c r="D21" s="381"/>
      <x:c r="E21" s="381"/>
      <x:c r="F21" s="381"/>
      <x:c r="G21" s="381"/>
      <x:c r="H21" s="381"/>
      <x:c r="I21" s="382"/>
      <x:c r="J21" s="371"/>
    </x:row>
    <x:row r="22" ht="18" customHeight="1">
      <x:c r="A22" s="377">
        <x:v>25</x:v>
      </x:c>
      <x:c r="B22" s="361" t="str">
        <x:f>_xlfn.LET(_xlpm.x,INDEX('Tableau de scores'!$D:$D,25),IF(_xlpm.x="","",UPPER(LEFT(_xlpm.x,1))&amp;MID(_xlpm.x,2,999)))</x:f>
        <x:v>Attention auditive / mémoire de travail</x:v>
      </x:c>
      <x:c r="C22" s="378" t="str" cm="1">
        <x:f t="array" ref="C22">_xlfn.LET(_xlpm.x,LOWER(INDEX('Tableau de scores'!$J:$J,$A22)),IF(OR(_xlpm.x="",_xlpm.x="mesure descriptive"),"",IF(_xlpm.x="extrêmement faible","■","□")))</x:f>
        <x:v>□</x:v>
      </x:c>
      <x:c r="D22" s="378" t="str" cm="1">
        <x:f t="array" ref="D22">_xlfn.LET(_xlpm.x,LOWER(INDEX('Tableau de scores'!$J:$J,$A22)),IF(OR(_xlpm.x="",_xlpm.x="mesure descriptive"),"",IF(_xlpm.x="limite","■","□")))</x:f>
        <x:v>□</x:v>
      </x:c>
      <x:c r="E22" s="378" t="str" cm="1">
        <x:f t="array" ref="E22">_xlfn.LET(_xlpm.x,LOWER(INDEX('Tableau de scores'!$J:$J,$A22)),IF(OR(_xlpm.x="",_xlpm.x="mesure descriptive"),"",IF(_xlpm.x="moyenne faible","■","□")))</x:f>
        <x:v>□</x:v>
      </x:c>
      <x:c r="F22" s="378" t="str" cm="1">
        <x:f t="array" ref="F22">_xlfn.LET(_xlpm.x,LOWER(INDEX('Tableau de scores'!$J:$J,$A22)),IF(OR(_xlpm.x="",_xlpm.x="mesure descriptive"),"",IF(_xlpm.x="moyenne","■","□")))</x:f>
        <x:v>■</x:v>
      </x:c>
      <x:c r="G22" s="378" t="str" cm="1">
        <x:f t="array" ref="G22">_xlfn.LET(_xlpm.x,LOWER(INDEX('Tableau de scores'!$J:$J,$A22)),IF(OR(_xlpm.x="",_xlpm.x="mesure descriptive"),"",IF(_xlpm.x="moyenne élevée","■","□")))</x:f>
        <x:v>□</x:v>
      </x:c>
      <x:c r="H22" s="378" t="str" cm="1">
        <x:f t="array" ref="H22">_xlfn.LET(_xlpm.x,LOWER(INDEX('Tableau de scores'!$J:$J,$A22)),IF(OR(_xlpm.x="",_xlpm.x="mesure descriptive"),"",IF(_xlpm.x="supérieur","■","□")))</x:f>
        <x:v>□</x:v>
      </x:c>
      <x:c r="I22" s="379" t="str" cm="1">
        <x:f t="array" ref="I22">_xlfn.LET(_xlpm.x,LOWER(INDEX('Tableau de scores'!$J:$J,$A22)),IF(OR(_xlpm.x="",_xlpm.x="mesure descriptive"),"",IF(_xlpm.x="très supérieur","■","□")))</x:f>
        <x:v>□</x:v>
      </x:c>
      <x:c r="J22" s="359" t="str" cm="1">
        <x:f t="array" ref="J22">SUBSTITUTE(INDEX('Tableau de scores'!$C:$C,$A22),"— ","")</x:f>
        <x:v>Séquence de chiffres (WAIS-IV)</x:v>
      </x:c>
    </x:row>
    <x:row r="23" ht="18" customHeight="1">
      <x:c r="A23" s="377">
        <x:v>26</x:v>
      </x:c>
      <x:c r="B23" s="361" t="str">
        <x:f>_xlfn.LET(_xlpm.x,INDEX('Tableau de scores'!$D:$D,26),IF(_xlpm.x="","",UPPER(LEFT(_xlpm.x,1))&amp;MID(_xlpm.x,2,999)))</x:f>
        <x:v>Empan attentionnel auditif</x:v>
      </x:c>
      <x:c r="C23" s="378" t="str" cm="1">
        <x:f t="array" ref="C23">_xlfn.LET(_xlpm.x,LOWER(INDEX('Tableau de scores'!$J:$J,$A23)),IF(OR(_xlpm.x="",_xlpm.x="mesure descriptive"),"",IF(_xlpm.x="extrêmement faible","■","□")))</x:f>
        <x:v>□</x:v>
      </x:c>
      <x:c r="D23" s="378" t="str" cm="1">
        <x:f t="array" ref="D23">_xlfn.LET(_xlpm.x,LOWER(INDEX('Tableau de scores'!$J:$J,$A23)),IF(OR(_xlpm.x="",_xlpm.x="mesure descriptive"),"",IF(_xlpm.x="limite","■","□")))</x:f>
        <x:v>□</x:v>
      </x:c>
      <x:c r="E23" s="378" t="str" cm="1">
        <x:f t="array" ref="E23">_xlfn.LET(_xlpm.x,LOWER(INDEX('Tableau de scores'!$J:$J,$A23)),IF(OR(_xlpm.x="",_xlpm.x="mesure descriptive"),"",IF(_xlpm.x="moyenne faible","■","□")))</x:f>
        <x:v>□</x:v>
      </x:c>
      <x:c r="F23" s="378" t="str" cm="1">
        <x:f t="array" ref="F23">_xlfn.LET(_xlpm.x,LOWER(INDEX('Tableau de scores'!$J:$J,$A23)),IF(OR(_xlpm.x="",_xlpm.x="mesure descriptive"),"",IF(_xlpm.x="moyenne","■","□")))</x:f>
        <x:v>■</x:v>
      </x:c>
      <x:c r="G23" s="378" t="str" cm="1">
        <x:f t="array" ref="G23">_xlfn.LET(_xlpm.x,LOWER(INDEX('Tableau de scores'!$J:$J,$A23)),IF(OR(_xlpm.x="",_xlpm.x="mesure descriptive"),"",IF(_xlpm.x="moyenne élevée","■","□")))</x:f>
        <x:v>□</x:v>
      </x:c>
      <x:c r="H23" s="378" t="str" cm="1">
        <x:f t="array" ref="H23">_xlfn.LET(_xlpm.x,LOWER(INDEX('Tableau de scores'!$J:$J,$A23)),IF(OR(_xlpm.x="",_xlpm.x="mesure descriptive"),"",IF(_xlpm.x="supérieur","■","□")))</x:f>
        <x:v>□</x:v>
      </x:c>
      <x:c r="I23" s="379" t="str" cm="1">
        <x:f t="array" ref="I23">_xlfn.LET(_xlpm.x,LOWER(INDEX('Tableau de scores'!$J:$J,$A23)),IF(OR(_xlpm.x="",_xlpm.x="mesure descriptive"),"",IF(_xlpm.x="très supérieur","■","□")))</x:f>
        <x:v>□</x:v>
      </x:c>
      <x:c r="J23" s="359" t="str" cm="1">
        <x:f t="array" ref="J23">SUBSTITUTE(INDEX('Tableau de scores'!$C:$C,$A23),"— ","")</x:f>
        <x:v>Empan ordre direct (maintien) (Séquence de chiffres, WAIS-IV)</x:v>
      </x:c>
    </x:row>
    <x:row r="24" ht="18" customHeight="1">
      <x:c r="A24" s="377">
        <x:v>27</x:v>
      </x:c>
      <x:c r="B24" s="361" t="str">
        <x:f>_xlfn.LET(_xlpm.x,INDEX('Tableau de scores'!$D:$D,27),IF(_xlpm.x="","",UPPER(LEFT(_xlpm.x,1))&amp;MID(_xlpm.x,2,999)))</x:f>
        <x:v>Mémoire de travail verbale / manipulation</x:v>
      </x:c>
      <x:c r="C24" s="378" t="str" cm="1">
        <x:f t="array" ref="C24">_xlfn.LET(_xlpm.x,LOWER(INDEX('Tableau de scores'!$J:$J,$A24)),IF(OR(_xlpm.x="",_xlpm.x="mesure descriptive"),"",IF(_xlpm.x="extrêmement faible","■","□")))</x:f>
        <x:v>□</x:v>
      </x:c>
      <x:c r="D24" s="378" t="str" cm="1">
        <x:f t="array" ref="D24">_xlfn.LET(_xlpm.x,LOWER(INDEX('Tableau de scores'!$J:$J,$A24)),IF(OR(_xlpm.x="",_xlpm.x="mesure descriptive"),"",IF(_xlpm.x="limite","■","□")))</x:f>
        <x:v>□</x:v>
      </x:c>
      <x:c r="E24" s="378" t="str" cm="1">
        <x:f t="array" ref="E24">_xlfn.LET(_xlpm.x,LOWER(INDEX('Tableau de scores'!$J:$J,$A24)),IF(OR(_xlpm.x="",_xlpm.x="mesure descriptive"),"",IF(_xlpm.x="moyenne faible","■","□")))</x:f>
        <x:v>□</x:v>
      </x:c>
      <x:c r="F24" s="378" t="str" cm="1">
        <x:f t="array" ref="F24">_xlfn.LET(_xlpm.x,LOWER(INDEX('Tableau de scores'!$J:$J,$A24)),IF(OR(_xlpm.x="",_xlpm.x="mesure descriptive"),"",IF(_xlpm.x="moyenne","■","□")))</x:f>
        <x:v>■</x:v>
      </x:c>
      <x:c r="G24" s="378" t="str" cm="1">
        <x:f t="array" ref="G24">_xlfn.LET(_xlpm.x,LOWER(INDEX('Tableau de scores'!$J:$J,$A24)),IF(OR(_xlpm.x="",_xlpm.x="mesure descriptive"),"",IF(_xlpm.x="moyenne élevée","■","□")))</x:f>
        <x:v>□</x:v>
      </x:c>
      <x:c r="H24" s="378" t="str" cm="1">
        <x:f t="array" ref="H24">_xlfn.LET(_xlpm.x,LOWER(INDEX('Tableau de scores'!$J:$J,$A24)),IF(OR(_xlpm.x="",_xlpm.x="mesure descriptive"),"",IF(_xlpm.x="supérieur","■","□")))</x:f>
        <x:v>□</x:v>
      </x:c>
      <x:c r="I24" s="379" t="str" cm="1">
        <x:f t="array" ref="I24">_xlfn.LET(_xlpm.x,LOWER(INDEX('Tableau de scores'!$J:$J,$A24)),IF(OR(_xlpm.x="",_xlpm.x="mesure descriptive"),"",IF(_xlpm.x="très supérieur","■","□")))</x:f>
        <x:v>□</x:v>
      </x:c>
      <x:c r="J24" s="359" t="str" cm="1">
        <x:f t="array" ref="J24">SUBSTITUTE(INDEX('Tableau de scores'!$C:$C,$A24),"— ","")</x:f>
        <x:v>Empan ordre inverse (manipulation) (Séquence de chiffres, WAIS-IV)</x:v>
      </x:c>
    </x:row>
    <x:row r="25" ht="18" customHeight="1">
      <x:c r="A25" s="377">
        <x:v>28</x:v>
      </x:c>
      <x:c r="B25" s="361" t="str">
        <x:f>_xlfn.LET(_xlpm.x,INDEX('Tableau de scores'!$D:$D,28),IF(_xlpm.x="","",UPPER(LEFT(_xlpm.x,1))&amp;MID(_xlpm.x,2,999)))</x:f>
        <x:v>Séquençage attentionnel / mémoire de travail</x:v>
      </x:c>
      <x:c r="C25" s="378" t="str" cm="1">
        <x:f t="array" ref="C25">_xlfn.LET(_xlpm.x,LOWER(INDEX('Tableau de scores'!$J:$J,$A25)),IF(OR(_xlpm.x="",_xlpm.x="mesure descriptive"),"",IF(_xlpm.x="extrêmement faible","■","□")))</x:f>
        <x:v>□</x:v>
      </x:c>
      <x:c r="D25" s="378" t="str" cm="1">
        <x:f t="array" ref="D25">_xlfn.LET(_xlpm.x,LOWER(INDEX('Tableau de scores'!$J:$J,$A25)),IF(OR(_xlpm.x="",_xlpm.x="mesure descriptive"),"",IF(_xlpm.x="limite","■","□")))</x:f>
        <x:v>□</x:v>
      </x:c>
      <x:c r="E25" s="378" t="str" cm="1">
        <x:f t="array" ref="E25">_xlfn.LET(_xlpm.x,LOWER(INDEX('Tableau de scores'!$J:$J,$A25)),IF(OR(_xlpm.x="",_xlpm.x="mesure descriptive"),"",IF(_xlpm.x="moyenne faible","■","□")))</x:f>
        <x:v>□</x:v>
      </x:c>
      <x:c r="F25" s="378" t="str" cm="1">
        <x:f t="array" ref="F25">_xlfn.LET(_xlpm.x,LOWER(INDEX('Tableau de scores'!$J:$J,$A25)),IF(OR(_xlpm.x="",_xlpm.x="mesure descriptive"),"",IF(_xlpm.x="moyenne","■","□")))</x:f>
        <x:v>■</x:v>
      </x:c>
      <x:c r="G25" s="378" t="str" cm="1">
        <x:f t="array" ref="G25">_xlfn.LET(_xlpm.x,LOWER(INDEX('Tableau de scores'!$J:$J,$A25)),IF(OR(_xlpm.x="",_xlpm.x="mesure descriptive"),"",IF(_xlpm.x="moyenne élevée","■","□")))</x:f>
        <x:v>□</x:v>
      </x:c>
      <x:c r="H25" s="378" t="str" cm="1">
        <x:f t="array" ref="H25">_xlfn.LET(_xlpm.x,LOWER(INDEX('Tableau de scores'!$J:$J,$A25)),IF(OR(_xlpm.x="",_xlpm.x="mesure descriptive"),"",IF(_xlpm.x="supérieur","■","□")))</x:f>
        <x:v>□</x:v>
      </x:c>
      <x:c r="I25" s="379" t="str" cm="1">
        <x:f t="array" ref="I25">_xlfn.LET(_xlpm.x,LOWER(INDEX('Tableau de scores'!$J:$J,$A25)),IF(OR(_xlpm.x="",_xlpm.x="mesure descriptive"),"",IF(_xlpm.x="très supérieur","■","□")))</x:f>
        <x:v>□</x:v>
      </x:c>
      <x:c r="J25" s="359" t="str" cm="1">
        <x:f t="array" ref="J25">SUBSTITUTE(INDEX('Tableau de scores'!$C:$C,$A25),"— ","")</x:f>
        <x:v>Empan ordre croissant (manipulation) (Séquence de chiffres, WAIS-IV)</x:v>
      </x:c>
    </x:row>
    <x:row r="26" ht="18" customHeight="1">
      <x:c r="A26" s="377">
        <x:v>29</x:v>
      </x:c>
      <x:c r="B26" s="361" t="str">
        <x:f>_xlfn.LET(_xlpm.x,INDEX('Tableau de scores'!$D:$D,29),IF(_xlpm.x="","",UPPER(LEFT(_xlpm.x,1))&amp;MID(_xlpm.x,2,999)))</x:f>
        <x:v>Calcul mental / mémoire de travail</x:v>
      </x:c>
      <x:c r="C26" s="378" t="str" cm="1">
        <x:f t="array" ref="C26">_xlfn.LET(_xlpm.x,LOWER(INDEX('Tableau de scores'!$J:$J,$A26)),IF(OR(_xlpm.x="",_xlpm.x="mesure descriptive"),"",IF(_xlpm.x="extrêmement faible","■","□")))</x:f>
        <x:v>□</x:v>
      </x:c>
      <x:c r="D26" s="378" t="str" cm="1">
        <x:f t="array" ref="D26">_xlfn.LET(_xlpm.x,LOWER(INDEX('Tableau de scores'!$J:$J,$A26)),IF(OR(_xlpm.x="",_xlpm.x="mesure descriptive"),"",IF(_xlpm.x="limite","■","□")))</x:f>
        <x:v>□</x:v>
      </x:c>
      <x:c r="E26" s="378" t="str" cm="1">
        <x:f t="array" ref="E26">_xlfn.LET(_xlpm.x,LOWER(INDEX('Tableau de scores'!$J:$J,$A26)),IF(OR(_xlpm.x="",_xlpm.x="mesure descriptive"),"",IF(_xlpm.x="moyenne faible","■","□")))</x:f>
        <x:v>□</x:v>
      </x:c>
      <x:c r="F26" s="378" t="str" cm="1">
        <x:f t="array" ref="F26">_xlfn.LET(_xlpm.x,LOWER(INDEX('Tableau de scores'!$J:$J,$A26)),IF(OR(_xlpm.x="",_xlpm.x="mesure descriptive"),"",IF(_xlpm.x="moyenne","■","□")))</x:f>
        <x:v>□</x:v>
      </x:c>
      <x:c r="G26" s="378" t="str" cm="1">
        <x:f t="array" ref="G26">_xlfn.LET(_xlpm.x,LOWER(INDEX('Tableau de scores'!$J:$J,$A26)),IF(OR(_xlpm.x="",_xlpm.x="mesure descriptive"),"",IF(_xlpm.x="moyenne élevée","■","□")))</x:f>
        <x:v>■</x:v>
      </x:c>
      <x:c r="H26" s="378" t="str" cm="1">
        <x:f t="array" ref="H26">_xlfn.LET(_xlpm.x,LOWER(INDEX('Tableau de scores'!$J:$J,$A26)),IF(OR(_xlpm.x="",_xlpm.x="mesure descriptive"),"",IF(_xlpm.x="supérieur","■","□")))</x:f>
        <x:v>□</x:v>
      </x:c>
      <x:c r="I26" s="379" t="str" cm="1">
        <x:f t="array" ref="I26">_xlfn.LET(_xlpm.x,LOWER(INDEX('Tableau de scores'!$J:$J,$A26)),IF(OR(_xlpm.x="",_xlpm.x="mesure descriptive"),"",IF(_xlpm.x="très supérieur","■","□")))</x:f>
        <x:v>□</x:v>
      </x:c>
      <x:c r="J26" s="359" t="str" cm="1">
        <x:f t="array" ref="J26">SUBSTITUTE(INDEX('Tableau de scores'!$C:$C,$A26),"— ","")</x:f>
        <x:v>Arithmétique (WAIS-IV)</x:v>
      </x:c>
    </x:row>
    <x:row r="27" ht="18" customHeight="1">
      <x:c r="A27" s="377">
        <x:v>34</x:v>
      </x:c>
      <x:c r="B27" s="361" t="str">
        <x:f>_xlfn.LET(_xlpm.x,INDEX('Tableau de scores'!$D:$D,34),IF(_xlpm.x="","",UPPER(LEFT(_xlpm.x,1))&amp;MID(_xlpm.x,2,999)))</x:f>
        <x:v>Dénomination / lecture automatisée</x:v>
      </x:c>
      <x:c r="C27" s="378" t="str" cm="1">
        <x:f t="array" ref="C27">_xlfn.LET(_xlpm.x,LOWER(INDEX('Tableau de scores'!$J:$J,$A27)),IF(OR(_xlpm.x="",_xlpm.x="mesure descriptive"),"",IF(_xlpm.x="extrêmement faible","■","□")))</x:f>
        <x:v>□</x:v>
      </x:c>
      <x:c r="D27" s="378" t="str" cm="1">
        <x:f t="array" ref="D27">_xlfn.LET(_xlpm.x,LOWER(INDEX('Tableau de scores'!$J:$J,$A27)),IF(OR(_xlpm.x="",_xlpm.x="mesure descriptive"),"",IF(_xlpm.x="limite","■","□")))</x:f>
        <x:v>□</x:v>
      </x:c>
      <x:c r="E27" s="378" t="str" cm="1">
        <x:f t="array" ref="E27">_xlfn.LET(_xlpm.x,LOWER(INDEX('Tableau de scores'!$J:$J,$A27)),IF(OR(_xlpm.x="",_xlpm.x="mesure descriptive"),"",IF(_xlpm.x="moyenne faible","■","□")))</x:f>
        <x:v>□</x:v>
      </x:c>
      <x:c r="F27" s="378" t="str" cm="1">
        <x:f t="array" ref="F27">_xlfn.LET(_xlpm.x,LOWER(INDEX('Tableau de scores'!$J:$J,$A27)),IF(OR(_xlpm.x="",_xlpm.x="mesure descriptive"),"",IF(_xlpm.x="moyenne","■","□")))</x:f>
        <x:v>■</x:v>
      </x:c>
      <x:c r="G27" s="378" t="str" cm="1">
        <x:f t="array" ref="G27">_xlfn.LET(_xlpm.x,LOWER(INDEX('Tableau de scores'!$J:$J,$A27)),IF(OR(_xlpm.x="",_xlpm.x="mesure descriptive"),"",IF(_xlpm.x="moyenne élevée","■","□")))</x:f>
        <x:v>□</x:v>
      </x:c>
      <x:c r="H27" s="378" t="str" cm="1">
        <x:f t="array" ref="H27">_xlfn.LET(_xlpm.x,LOWER(INDEX('Tableau de scores'!$J:$J,$A27)),IF(OR(_xlpm.x="",_xlpm.x="mesure descriptive"),"",IF(_xlpm.x="supérieur","■","□")))</x:f>
        <x:v>□</x:v>
      </x:c>
      <x:c r="I27" s="379" t="str" cm="1">
        <x:f t="array" ref="I27">_xlfn.LET(_xlpm.x,LOWER(INDEX('Tableau de scores'!$J:$J,$A27)),IF(OR(_xlpm.x="",_xlpm.x="mesure descriptive"),"",IF(_xlpm.x="très supérieur","■","□")))</x:f>
        <x:v>□</x:v>
      </x:c>
      <x:c r="J27" s="359" t="str" cm="1">
        <x:f t="array" ref="J27">SUBSTITUTE(INDEX('Tableau de scores'!$C:$C,$A27),"— ","")</x:f>
        <x:v>Stroop (D-KEFS) vitesse de base</x:v>
      </x:c>
    </x:row>
    <x:row r="28" ht="18" customHeight="1">
      <x:c r="A28" s="377">
        <x:v>35</x:v>
      </x:c>
      <x:c r="B28" s="361" t="str">
        <x:f>_xlfn.LET(_xlpm.x,INDEX('Tableau de scores'!$D:$D,35),IF(_xlpm.x="","",UPPER(LEFT(_xlpm.x,1))&amp;MID(_xlpm.x,2,999)))</x:f>
        <x:v>Dénomination rapide</x:v>
      </x:c>
      <x:c r="C28" s="378" t="str" cm="1">
        <x:f t="array" ref="C28">_xlfn.LET(_xlpm.x,LOWER(INDEX('Tableau de scores'!$J:$J,$A28)),IF(OR(_xlpm.x="",_xlpm.x="mesure descriptive"),"",IF(_xlpm.x="extrêmement faible","■","□")))</x:f>
        <x:v>□</x:v>
      </x:c>
      <x:c r="D28" s="378" t="str" cm="1">
        <x:f t="array" ref="D28">_xlfn.LET(_xlpm.x,LOWER(INDEX('Tableau de scores'!$J:$J,$A28)),IF(OR(_xlpm.x="",_xlpm.x="mesure descriptive"),"",IF(_xlpm.x="limite","■","□")))</x:f>
        <x:v>□</x:v>
      </x:c>
      <x:c r="E28" s="378" t="str" cm="1">
        <x:f t="array" ref="E28">_xlfn.LET(_xlpm.x,LOWER(INDEX('Tableau de scores'!$J:$J,$A28)),IF(OR(_xlpm.x="",_xlpm.x="mesure descriptive"),"",IF(_xlpm.x="moyenne faible","■","□")))</x:f>
        <x:v>□</x:v>
      </x:c>
      <x:c r="F28" s="378" t="str" cm="1">
        <x:f t="array" ref="F28">_xlfn.LET(_xlpm.x,LOWER(INDEX('Tableau de scores'!$J:$J,$A28)),IF(OR(_xlpm.x="",_xlpm.x="mesure descriptive"),"",IF(_xlpm.x="moyenne","■","□")))</x:f>
        <x:v>■</x:v>
      </x:c>
      <x:c r="G28" s="378" t="str" cm="1">
        <x:f t="array" ref="G28">_xlfn.LET(_xlpm.x,LOWER(INDEX('Tableau de scores'!$J:$J,$A28)),IF(OR(_xlpm.x="",_xlpm.x="mesure descriptive"),"",IF(_xlpm.x="moyenne élevée","■","□")))</x:f>
        <x:v>□</x:v>
      </x:c>
      <x:c r="H28" s="378" t="str" cm="1">
        <x:f t="array" ref="H28">_xlfn.LET(_xlpm.x,LOWER(INDEX('Tableau de scores'!$J:$J,$A28)),IF(OR(_xlpm.x="",_xlpm.x="mesure descriptive"),"",IF(_xlpm.x="supérieur","■","□")))</x:f>
        <x:v>□</x:v>
      </x:c>
      <x:c r="I28" s="379" t="str" cm="1">
        <x:f t="array" ref="I28">_xlfn.LET(_xlpm.x,LOWER(INDEX('Tableau de scores'!$J:$J,$A28)),IF(OR(_xlpm.x="",_xlpm.x="mesure descriptive"),"",IF(_xlpm.x="très supérieur","■","□")))</x:f>
        <x:v>□</x:v>
      </x:c>
      <x:c r="J28" s="359" t="str" cm="1">
        <x:f t="array" ref="J28">SUBSTITUTE(INDEX('Tableau de scores'!$C:$C,$A28),"— ","")</x:f>
        <x:v>Condition 1 : Dénomination (Stroop, vitesse de base)</x:v>
      </x:c>
    </x:row>
    <x:row r="29" ht="18" customHeight="1">
      <x:c r="A29" s="377">
        <x:v>36</x:v>
      </x:c>
      <x:c r="B29" s="361" t="str">
        <x:f>_xlfn.LET(_xlpm.x,INDEX('Tableau de scores'!$D:$D,36),IF(_xlpm.x="","",UPPER(LEFT(_xlpm.x,1))&amp;MID(_xlpm.x,2,999)))</x:f>
        <x:v>Lecture automatisée</x:v>
      </x:c>
      <x:c r="C29" s="378" t="str" cm="1">
        <x:f t="array" ref="C29">_xlfn.LET(_xlpm.x,LOWER(INDEX('Tableau de scores'!$J:$J,$A29)),IF(OR(_xlpm.x="",_xlpm.x="mesure descriptive"),"",IF(_xlpm.x="extrêmement faible","■","□")))</x:f>
        <x:v>□</x:v>
      </x:c>
      <x:c r="D29" s="378" t="str" cm="1">
        <x:f t="array" ref="D29">_xlfn.LET(_xlpm.x,LOWER(INDEX('Tableau de scores'!$J:$J,$A29)),IF(OR(_xlpm.x="",_xlpm.x="mesure descriptive"),"",IF(_xlpm.x="limite","■","□")))</x:f>
        <x:v>□</x:v>
      </x:c>
      <x:c r="E29" s="378" t="str" cm="1">
        <x:f t="array" ref="E29">_xlfn.LET(_xlpm.x,LOWER(INDEX('Tableau de scores'!$J:$J,$A29)),IF(OR(_xlpm.x="",_xlpm.x="mesure descriptive"),"",IF(_xlpm.x="moyenne faible","■","□")))</x:f>
        <x:v>□</x:v>
      </x:c>
      <x:c r="F29" s="378" t="str" cm="1">
        <x:f t="array" ref="F29">_xlfn.LET(_xlpm.x,LOWER(INDEX('Tableau de scores'!$J:$J,$A29)),IF(OR(_xlpm.x="",_xlpm.x="mesure descriptive"),"",IF(_xlpm.x="moyenne","■","□")))</x:f>
        <x:v>□</x:v>
      </x:c>
      <x:c r="G29" s="378" t="str" cm="1">
        <x:f t="array" ref="G29">_xlfn.LET(_xlpm.x,LOWER(INDEX('Tableau de scores'!$J:$J,$A29)),IF(OR(_xlpm.x="",_xlpm.x="mesure descriptive"),"",IF(_xlpm.x="moyenne élevée","■","□")))</x:f>
        <x:v>■</x:v>
      </x:c>
      <x:c r="H29" s="378" t="str" cm="1">
        <x:f t="array" ref="H29">_xlfn.LET(_xlpm.x,LOWER(INDEX('Tableau de scores'!$J:$J,$A29)),IF(OR(_xlpm.x="",_xlpm.x="mesure descriptive"),"",IF(_xlpm.x="supérieur","■","□")))</x:f>
        <x:v>□</x:v>
      </x:c>
      <x:c r="I29" s="379" t="str" cm="1">
        <x:f t="array" ref="I29">_xlfn.LET(_xlpm.x,LOWER(INDEX('Tableau de scores'!$J:$J,$A29)),IF(OR(_xlpm.x="",_xlpm.x="mesure descriptive"),"",IF(_xlpm.x="très supérieur","■","□")))</x:f>
        <x:v>□</x:v>
      </x:c>
      <x:c r="J29" s="359" t="str" cm="1">
        <x:f t="array" ref="J29">SUBSTITUTE(INDEX('Tableau de scores'!$C:$C,$A29),"— ","")</x:f>
        <x:v>Condition 2 : Lecture (Stroop, vitesse de base)</x:v>
      </x:c>
    </x:row>
    <x:row r="30" ht="18" customHeight="1">
      <x:c r="A30" s="377"/>
      <x:c r="B30" s="390" t="s">
        <x:v>480</x:v>
      </x:c>
      <x:c r="C30" s="381"/>
      <x:c r="D30" s="381"/>
      <x:c r="E30" s="381"/>
      <x:c r="F30" s="381"/>
      <x:c r="G30" s="381"/>
      <x:c r="H30" s="381"/>
      <x:c r="I30" s="382"/>
      <x:c r="J30" s="371"/>
    </x:row>
    <x:row r="31" ht="18" customHeight="1">
      <x:c r="A31" s="377">
        <x:v>39</x:v>
      </x:c>
      <x:c r="B31" s="357" t="str">
        <x:f>_xlfn.LET(_xlpm.x,INDEX('Tableau de scores'!$D:$D,39),IF(_xlpm.x="","",UPPER(LEFT(_xlpm.x,1))&amp;MID(_xlpm.x,2,999)))</x:f>
        <x:v>Encodage / apprentissage verbal</x:v>
      </x:c>
      <x:c r="C31" s="378" t="str" cm="1">
        <x:f t="array" ref="C31">_xlfn.LET(_xlpm.x,LOWER(INDEX('Tableau de scores'!$J:$J,$A31)),IF(OR(_xlpm.x="",_xlpm.x="mesure descriptive"),"",IF(_xlpm.x="extrêmement faible","■","□")))</x:f>
        <x:v>□</x:v>
      </x:c>
      <x:c r="D31" s="378" t="str" cm="1">
        <x:f t="array" ref="D31">_xlfn.LET(_xlpm.x,LOWER(INDEX('Tableau de scores'!$J:$J,$A31)),IF(OR(_xlpm.x="",_xlpm.x="mesure descriptive"),"",IF(_xlpm.x="limite","■","□")))</x:f>
        <x:v>□</x:v>
      </x:c>
      <x:c r="E31" s="378" t="str" cm="1">
        <x:f t="array" ref="E31">_xlfn.LET(_xlpm.x,LOWER(INDEX('Tableau de scores'!$J:$J,$A31)),IF(OR(_xlpm.x="",_xlpm.x="mesure descriptive"),"",IF(_xlpm.x="moyenne faible","■","□")))</x:f>
        <x:v>■</x:v>
      </x:c>
      <x:c r="F31" s="378" t="str" cm="1">
        <x:f t="array" ref="F31">_xlfn.LET(_xlpm.x,LOWER(INDEX('Tableau de scores'!$J:$J,$A31)),IF(OR(_xlpm.x="",_xlpm.x="mesure descriptive"),"",IF(_xlpm.x="moyenne","■","□")))</x:f>
        <x:v>□</x:v>
      </x:c>
      <x:c r="G31" s="378" t="str" cm="1">
        <x:f t="array" ref="G31">_xlfn.LET(_xlpm.x,LOWER(INDEX('Tableau de scores'!$J:$J,$A31)),IF(OR(_xlpm.x="",_xlpm.x="mesure descriptive"),"",IF(_xlpm.x="moyenne élevée","■","□")))</x:f>
        <x:v>□</x:v>
      </x:c>
      <x:c r="H31" s="378" t="str" cm="1">
        <x:f t="array" ref="H31">_xlfn.LET(_xlpm.x,LOWER(INDEX('Tableau de scores'!$J:$J,$A31)),IF(OR(_xlpm.x="",_xlpm.x="mesure descriptive"),"",IF(_xlpm.x="supérieur","■","□")))</x:f>
        <x:v>□</x:v>
      </x:c>
      <x:c r="I31" s="379" t="str" cm="1">
        <x:f t="array" ref="I31">_xlfn.LET(_xlpm.x,LOWER(INDEX('Tableau de scores'!$J:$J,$A31)),IF(OR(_xlpm.x="",_xlpm.x="mesure descriptive"),"",IF(_xlpm.x="très supérieur","■","□")))</x:f>
        <x:v>□</x:v>
      </x:c>
      <x:c r="J31" s="359" t="str" cm="1">
        <x:f t="array" ref="J31">SUBSTITUTE(INDEX('Tableau de scores'!$C:$C,$A31),"— ","")</x:f>
        <x:v>Essais 1 à 5 (CVLT)</x:v>
      </x:c>
    </x:row>
    <x:row r="32" ht="18" customHeight="1">
      <x:c r="A32" s="377">
        <x:v>40</x:v>
      </x:c>
      <x:c r="B32" s="357" t="str">
        <x:f>_xlfn.LET(_xlpm.x,INDEX('Tableau de scores'!$D:$D,40),IF(_xlpm.x="","",UPPER(LEFT(_xlpm.x,1))&amp;MID(_xlpm.x,2,999)))</x:f>
        <x:v>Mémoire verbale différée</x:v>
      </x:c>
      <x:c r="C32" s="378" t="str" cm="1">
        <x:f t="array" ref="C32">_xlfn.LET(_xlpm.x,LOWER(INDEX('Tableau de scores'!$J:$J,$A32)),IF(OR(_xlpm.x="",_xlpm.x="mesure descriptive"),"",IF(_xlpm.x="extrêmement faible","■","□")))</x:f>
        <x:v>□</x:v>
      </x:c>
      <x:c r="D32" s="378" t="str" cm="1">
        <x:f t="array" ref="D32">_xlfn.LET(_xlpm.x,LOWER(INDEX('Tableau de scores'!$J:$J,$A32)),IF(OR(_xlpm.x="",_xlpm.x="mesure descriptive"),"",IF(_xlpm.x="limite","■","□")))</x:f>
        <x:v>□</x:v>
      </x:c>
      <x:c r="E32" s="378" t="str" cm="1">
        <x:f t="array" ref="E32">_xlfn.LET(_xlpm.x,LOWER(INDEX('Tableau de scores'!$J:$J,$A32)),IF(OR(_xlpm.x="",_xlpm.x="mesure descriptive"),"",IF(_xlpm.x="moyenne faible","■","□")))</x:f>
        <x:v>■</x:v>
      </x:c>
      <x:c r="F32" s="378" t="str" cm="1">
        <x:f t="array" ref="F32">_xlfn.LET(_xlpm.x,LOWER(INDEX('Tableau de scores'!$J:$J,$A32)),IF(OR(_xlpm.x="",_xlpm.x="mesure descriptive"),"",IF(_xlpm.x="moyenne","■","□")))</x:f>
        <x:v>□</x:v>
      </x:c>
      <x:c r="G32" s="378" t="str" cm="1">
        <x:f t="array" ref="G32">_xlfn.LET(_xlpm.x,LOWER(INDEX('Tableau de scores'!$J:$J,$A32)),IF(OR(_xlpm.x="",_xlpm.x="mesure descriptive"),"",IF(_xlpm.x="moyenne élevée","■","□")))</x:f>
        <x:v>□</x:v>
      </x:c>
      <x:c r="H32" s="378" t="str" cm="1">
        <x:f t="array" ref="H32">_xlfn.LET(_xlpm.x,LOWER(INDEX('Tableau de scores'!$J:$J,$A32)),IF(OR(_xlpm.x="",_xlpm.x="mesure descriptive"),"",IF(_xlpm.x="supérieur","■","□")))</x:f>
        <x:v>□</x:v>
      </x:c>
      <x:c r="I32" s="379" t="str" cm="1">
        <x:f t="array" ref="I32">_xlfn.LET(_xlpm.x,LOWER(INDEX('Tableau de scores'!$J:$J,$A32)),IF(OR(_xlpm.x="",_xlpm.x="mesure descriptive"),"",IF(_xlpm.x="très supérieur","■","□")))</x:f>
        <x:v>□</x:v>
      </x:c>
      <x:c r="J32" s="359" t="str" cm="1">
        <x:f t="array" ref="J32">SUBSTITUTE(INDEX('Tableau de scores'!$C:$C,$A32),"— ","")</x:f>
        <x:v>Rappel différé (CVLT)</x:v>
      </x:c>
    </x:row>
    <x:row r="33" ht="18" customHeight="1">
      <x:c r="A33" s="377">
        <x:v>41</x:v>
      </x:c>
      <x:c r="B33" s="357" t="str">
        <x:f>_xlfn.LET(_xlpm.x,INDEX('Tableau de scores'!$D:$D,41),IF(_xlpm.x="","",UPPER(LEFT(_xlpm.x,1))&amp;MID(_xlpm.x,2,999)))</x:f>
        <x:v>Rappel après interférence</x:v>
      </x:c>
      <x:c r="C33" s="378" t="str" cm="1">
        <x:f t="array" ref="C33">_xlfn.LET(_xlpm.x,LOWER(INDEX('Tableau de scores'!$J:$J,$A33)),IF(OR(_xlpm.x="",_xlpm.x="mesure descriptive"),"",IF(_xlpm.x="extrêmement faible","■","□")))</x:f>
        <x:v>□</x:v>
      </x:c>
      <x:c r="D33" s="378" t="str" cm="1">
        <x:f t="array" ref="D33">_xlfn.LET(_xlpm.x,LOWER(INDEX('Tableau de scores'!$J:$J,$A33)),IF(OR(_xlpm.x="",_xlpm.x="mesure descriptive"),"",IF(_xlpm.x="limite","■","□")))</x:f>
        <x:v>■</x:v>
      </x:c>
      <x:c r="E33" s="378" t="str" cm="1">
        <x:f t="array" ref="E33">_xlfn.LET(_xlpm.x,LOWER(INDEX('Tableau de scores'!$J:$J,$A33)),IF(OR(_xlpm.x="",_xlpm.x="mesure descriptive"),"",IF(_xlpm.x="moyenne faible","■","□")))</x:f>
        <x:v>□</x:v>
      </x:c>
      <x:c r="F33" s="378" t="str" cm="1">
        <x:f t="array" ref="F33">_xlfn.LET(_xlpm.x,LOWER(INDEX('Tableau de scores'!$J:$J,$A33)),IF(OR(_xlpm.x="",_xlpm.x="mesure descriptive"),"",IF(_xlpm.x="moyenne","■","□")))</x:f>
        <x:v>□</x:v>
      </x:c>
      <x:c r="G33" s="378" t="str" cm="1">
        <x:f t="array" ref="G33">_xlfn.LET(_xlpm.x,LOWER(INDEX('Tableau de scores'!$J:$J,$A33)),IF(OR(_xlpm.x="",_xlpm.x="mesure descriptive"),"",IF(_xlpm.x="moyenne élevée","■","□")))</x:f>
        <x:v>□</x:v>
      </x:c>
      <x:c r="H33" s="378" t="str" cm="1">
        <x:f t="array" ref="H33">_xlfn.LET(_xlpm.x,LOWER(INDEX('Tableau de scores'!$J:$J,$A33)),IF(OR(_xlpm.x="",_xlpm.x="mesure descriptive"),"",IF(_xlpm.x="supérieur","■","□")))</x:f>
        <x:v>□</x:v>
      </x:c>
      <x:c r="I33" s="379" t="str" cm="1">
        <x:f t="array" ref="I33">_xlfn.LET(_xlpm.x,LOWER(INDEX('Tableau de scores'!$J:$J,$A33)),IF(OR(_xlpm.x="",_xlpm.x="mesure descriptive"),"",IF(_xlpm.x="très supérieur","■","□")))</x:f>
        <x:v>□</x:v>
      </x:c>
      <x:c r="J33" s="359" t="str" cm="1">
        <x:f t="array" ref="J33">SUBSTITUTE(INDEX('Tableau de scores'!$C:$C,$A33),"— ","")</x:f>
        <x:v>Rappel total (avec liste B) (CVLT)</x:v>
      </x:c>
    </x:row>
    <x:row r="34" ht="18" customHeight="1">
      <x:c r="A34" s="377">
        <x:v>43</x:v>
      </x:c>
      <x:c r="B34" s="357" t="str">
        <x:f>_xlfn.LET(_xlpm.x,INDEX('Tableau de scores'!$D:$D,43),IF(_xlpm.x="","",UPPER(LEFT(_xlpm.x,1))&amp;MID(_xlpm.x,2,999)))</x:f>
        <x:v>Monitoring verbal / intrusions d’apprentissage</x:v>
      </x:c>
      <x:c r="C34" s="378" t="str" cm="1">
        <x:f t="array" ref="C34">_xlfn.LET(_xlpm.x,LOWER(INDEX('Tableau de scores'!$J:$J,$A34)),IF(OR(_xlpm.x="",_xlpm.x="mesure descriptive"),"",IF(_xlpm.x="extrêmement faible","■","□")))</x:f>
        <x:v>□</x:v>
      </x:c>
      <x:c r="D34" s="378" t="str" cm="1">
        <x:f t="array" ref="D34">_xlfn.LET(_xlpm.x,LOWER(INDEX('Tableau de scores'!$J:$J,$A34)),IF(OR(_xlpm.x="",_xlpm.x="mesure descriptive"),"",IF(_xlpm.x="limite","■","□")))</x:f>
        <x:v>□</x:v>
      </x:c>
      <x:c r="E34" s="378" t="str" cm="1">
        <x:f t="array" ref="E34">_xlfn.LET(_xlpm.x,LOWER(INDEX('Tableau de scores'!$J:$J,$A34)),IF(OR(_xlpm.x="",_xlpm.x="mesure descriptive"),"",IF(_xlpm.x="moyenne faible","■","□")))</x:f>
        <x:v>□</x:v>
      </x:c>
      <x:c r="F34" s="378" t="str" cm="1">
        <x:f t="array" ref="F34">_xlfn.LET(_xlpm.x,LOWER(INDEX('Tableau de scores'!$J:$J,$A34)),IF(OR(_xlpm.x="",_xlpm.x="mesure descriptive"),"",IF(_xlpm.x="moyenne","■","□")))</x:f>
        <x:v>■</x:v>
      </x:c>
      <x:c r="G34" s="378" t="str" cm="1">
        <x:f t="array" ref="G34">_xlfn.LET(_xlpm.x,LOWER(INDEX('Tableau de scores'!$J:$J,$A34)),IF(OR(_xlpm.x="",_xlpm.x="mesure descriptive"),"",IF(_xlpm.x="moyenne élevée","■","□")))</x:f>
        <x:v>□</x:v>
      </x:c>
      <x:c r="H34" s="378" t="str" cm="1">
        <x:f t="array" ref="H34">_xlfn.LET(_xlpm.x,LOWER(INDEX('Tableau de scores'!$J:$J,$A34)),IF(OR(_xlpm.x="",_xlpm.x="mesure descriptive"),"",IF(_xlpm.x="supérieur","■","□")))</x:f>
        <x:v>□</x:v>
      </x:c>
      <x:c r="I34" s="379" t="str" cm="1">
        <x:f t="array" ref="I34">_xlfn.LET(_xlpm.x,LOWER(INDEX('Tableau de scores'!$J:$J,$A34)),IF(OR(_xlpm.x="",_xlpm.x="mesure descriptive"),"",IF(_xlpm.x="très supérieur","■","□")))</x:f>
        <x:v>□</x:v>
      </x:c>
      <x:c r="J34" s="359" t="str" cm="1">
        <x:f t="array" ref="J34">SUBSTITUTE(INDEX('Tableau de scores'!$C:$C,$A34),"— ","")</x:f>
        <x:v>Total intrusions essais 1 à 5 (CVLT)</x:v>
      </x:c>
    </x:row>
    <x:row r="35" ht="18" customHeight="1">
      <x:c r="A35" s="377">
        <x:v>44</x:v>
      </x:c>
      <x:c r="B35" s="357" t="str">
        <x:f>_xlfn.LET(_xlpm.x,INDEX('Tableau de scores'!$D:$D,44),IF(_xlpm.x="","",UPPER(LEFT(_xlpm.x,1))&amp;MID(_xlpm.x,2,999)))</x:f>
        <x:v>Intrusions en rappel libre</x:v>
      </x:c>
      <x:c r="C35" s="378" t="str" cm="1">
        <x:f t="array" ref="C35">_xlfn.LET(_xlpm.x,LOWER(INDEX('Tableau de scores'!$J:$J,$A35)),IF(OR(_xlpm.x="",_xlpm.x="mesure descriptive"),"",IF(_xlpm.x="extrêmement faible","■","□")))</x:f>
        <x:v>□</x:v>
      </x:c>
      <x:c r="D35" s="378" t="str" cm="1">
        <x:f t="array" ref="D35">_xlfn.LET(_xlpm.x,LOWER(INDEX('Tableau de scores'!$J:$J,$A35)),IF(OR(_xlpm.x="",_xlpm.x="mesure descriptive"),"",IF(_xlpm.x="limite","■","□")))</x:f>
        <x:v>□</x:v>
      </x:c>
      <x:c r="E35" s="378" t="str" cm="1">
        <x:f t="array" ref="E35">_xlfn.LET(_xlpm.x,LOWER(INDEX('Tableau de scores'!$J:$J,$A35)),IF(OR(_xlpm.x="",_xlpm.x="mesure descriptive"),"",IF(_xlpm.x="moyenne faible","■","□")))</x:f>
        <x:v>□</x:v>
      </x:c>
      <x:c r="F35" s="378" t="str" cm="1">
        <x:f t="array" ref="F35">_xlfn.LET(_xlpm.x,LOWER(INDEX('Tableau de scores'!$J:$J,$A35)),IF(OR(_xlpm.x="",_xlpm.x="mesure descriptive"),"",IF(_xlpm.x="moyenne","■","□")))</x:f>
        <x:v>■</x:v>
      </x:c>
      <x:c r="G35" s="378" t="str" cm="1">
        <x:f t="array" ref="G35">_xlfn.LET(_xlpm.x,LOWER(INDEX('Tableau de scores'!$J:$J,$A35)),IF(OR(_xlpm.x="",_xlpm.x="mesure descriptive"),"",IF(_xlpm.x="moyenne élevée","■","□")))</x:f>
        <x:v>□</x:v>
      </x:c>
      <x:c r="H35" s="378" t="str" cm="1">
        <x:f t="array" ref="H35">_xlfn.LET(_xlpm.x,LOWER(INDEX('Tableau de scores'!$J:$J,$A35)),IF(OR(_xlpm.x="",_xlpm.x="mesure descriptive"),"",IF(_xlpm.x="supérieur","■","□")))</x:f>
        <x:v>□</x:v>
      </x:c>
      <x:c r="I35" s="379" t="str" cm="1">
        <x:f t="array" ref="I35">_xlfn.LET(_xlpm.x,LOWER(INDEX('Tableau de scores'!$J:$J,$A35)),IF(OR(_xlpm.x="",_xlpm.x="mesure descriptive"),"",IF(_xlpm.x="très supérieur","■","□")))</x:f>
        <x:v>□</x:v>
      </x:c>
      <x:c r="J35" s="359" t="str" cm="1">
        <x:f t="array" ref="J35">SUBSTITUTE(INDEX('Tableau de scores'!$C:$C,$A35),"— ","")</x:f>
        <x:v>Intrusions en rappel libre (CVLT)</x:v>
      </x:c>
    </x:row>
    <x:row r="36" ht="18" customHeight="1">
      <x:c r="A36" s="377">
        <x:v>45</x:v>
      </x:c>
      <x:c r="B36" s="357" t="str">
        <x:f>_xlfn.LET(_xlpm.x,INDEX('Tableau de scores'!$D:$D,45),IF(_xlpm.x="","",UPPER(LEFT(_xlpm.x,1))&amp;MID(_xlpm.x,2,999)))</x:f>
        <x:v>Intrusions en rappel indicé</x:v>
      </x:c>
      <x:c r="C36" s="378" t="str" cm="1">
        <x:f t="array" ref="C36">_xlfn.LET(_xlpm.x,LOWER(INDEX('Tableau de scores'!$J:$J,$A36)),IF(OR(_xlpm.x="",_xlpm.x="mesure descriptive"),"",IF(_xlpm.x="extrêmement faible","■","□")))</x:f>
        <x:v>□</x:v>
      </x:c>
      <x:c r="D36" s="378" t="str" cm="1">
        <x:f t="array" ref="D36">_xlfn.LET(_xlpm.x,LOWER(INDEX('Tableau de scores'!$J:$J,$A36)),IF(OR(_xlpm.x="",_xlpm.x="mesure descriptive"),"",IF(_xlpm.x="limite","■","□")))</x:f>
        <x:v>□</x:v>
      </x:c>
      <x:c r="E36" s="378" t="str" cm="1">
        <x:f t="array" ref="E36">_xlfn.LET(_xlpm.x,LOWER(INDEX('Tableau de scores'!$J:$J,$A36)),IF(OR(_xlpm.x="",_xlpm.x="mesure descriptive"),"",IF(_xlpm.x="moyenne faible","■","□")))</x:f>
        <x:v>□</x:v>
      </x:c>
      <x:c r="F36" s="378" t="str" cm="1">
        <x:f t="array" ref="F36">_xlfn.LET(_xlpm.x,LOWER(INDEX('Tableau de scores'!$J:$J,$A36)),IF(OR(_xlpm.x="",_xlpm.x="mesure descriptive"),"",IF(_xlpm.x="moyenne","■","□")))</x:f>
        <x:v>■</x:v>
      </x:c>
      <x:c r="G36" s="378" t="str" cm="1">
        <x:f t="array" ref="G36">_xlfn.LET(_xlpm.x,LOWER(INDEX('Tableau de scores'!$J:$J,$A36)),IF(OR(_xlpm.x="",_xlpm.x="mesure descriptive"),"",IF(_xlpm.x="moyenne élevée","■","□")))</x:f>
        <x:v>□</x:v>
      </x:c>
      <x:c r="H36" s="378" t="str" cm="1">
        <x:f t="array" ref="H36">_xlfn.LET(_xlpm.x,LOWER(INDEX('Tableau de scores'!$J:$J,$A36)),IF(OR(_xlpm.x="",_xlpm.x="mesure descriptive"),"",IF(_xlpm.x="supérieur","■","□")))</x:f>
        <x:v>□</x:v>
      </x:c>
      <x:c r="I36" s="379" t="str" cm="1">
        <x:f t="array" ref="I36">_xlfn.LET(_xlpm.x,LOWER(INDEX('Tableau de scores'!$J:$J,$A36)),IF(OR(_xlpm.x="",_xlpm.x="mesure descriptive"),"",IF(_xlpm.x="très supérieur","■","□")))</x:f>
        <x:v>□</x:v>
      </x:c>
      <x:c r="J36" s="359" t="str" cm="1">
        <x:f t="array" ref="J36">SUBSTITUTE(INDEX('Tableau de scores'!$C:$C,$A36),"— ","")</x:f>
        <x:v>Intrusions en rappel indicé (CVLT)</x:v>
      </x:c>
    </x:row>
    <x:row r="37" ht="18" customHeight="1">
      <x:c r="A37" s="377">
        <x:v>46</x:v>
      </x:c>
      <x:c r="B37" s="357" t="str">
        <x:f>_xlfn.LET(_xlpm.x,INDEX('Tableau de scores'!$D:$D,46),IF(_xlpm.x="","",UPPER(LEFT(_xlpm.x,1))&amp;MID(_xlpm.x,2,999)))</x:f>
        <x:v>Monitoring / contrôle des intrusions verbales</x:v>
      </x:c>
      <x:c r="C37" s="378" t="str" cm="1">
        <x:f t="array" ref="C37">_xlfn.LET(_xlpm.x,LOWER(INDEX('Tableau de scores'!$J:$J,$A37)),IF(OR(_xlpm.x="",_xlpm.x="mesure descriptive"),"",IF(_xlpm.x="extrêmement faible","■","□")))</x:f>
        <x:v>□</x:v>
      </x:c>
      <x:c r="D37" s="378" t="str" cm="1">
        <x:f t="array" ref="D37">_xlfn.LET(_xlpm.x,LOWER(INDEX('Tableau de scores'!$J:$J,$A37)),IF(OR(_xlpm.x="",_xlpm.x="mesure descriptive"),"",IF(_xlpm.x="limite","■","□")))</x:f>
        <x:v>□</x:v>
      </x:c>
      <x:c r="E37" s="378" t="str" cm="1">
        <x:f t="array" ref="E37">_xlfn.LET(_xlpm.x,LOWER(INDEX('Tableau de scores'!$J:$J,$A37)),IF(OR(_xlpm.x="",_xlpm.x="mesure descriptive"),"",IF(_xlpm.x="moyenne faible","■","□")))</x:f>
        <x:v>□</x:v>
      </x:c>
      <x:c r="F37" s="378" t="str" cm="1">
        <x:f t="array" ref="F37">_xlfn.LET(_xlpm.x,LOWER(INDEX('Tableau de scores'!$J:$J,$A37)),IF(OR(_xlpm.x="",_xlpm.x="mesure descriptive"),"",IF(_xlpm.x="moyenne","■","□")))</x:f>
        <x:v>■</x:v>
      </x:c>
      <x:c r="G37" s="378" t="str" cm="1">
        <x:f t="array" ref="G37">_xlfn.LET(_xlpm.x,LOWER(INDEX('Tableau de scores'!$J:$J,$A37)),IF(OR(_xlpm.x="",_xlpm.x="mesure descriptive"),"",IF(_xlpm.x="moyenne élevée","■","□")))</x:f>
        <x:v>□</x:v>
      </x:c>
      <x:c r="H37" s="378" t="str" cm="1">
        <x:f t="array" ref="H37">_xlfn.LET(_xlpm.x,LOWER(INDEX('Tableau de scores'!$J:$J,$A37)),IF(OR(_xlpm.x="",_xlpm.x="mesure descriptive"),"",IF(_xlpm.x="supérieur","■","□")))</x:f>
        <x:v>□</x:v>
      </x:c>
      <x:c r="I37" s="379" t="str" cm="1">
        <x:f t="array" ref="I37">_xlfn.LET(_xlpm.x,LOWER(INDEX('Tableau de scores'!$J:$J,$A37)),IF(OR(_xlpm.x="",_xlpm.x="mesure descriptive"),"",IF(_xlpm.x="très supérieur","■","□")))</x:f>
        <x:v>□</x:v>
      </x:c>
      <x:c r="J37" s="360" t="str" cm="1">
        <x:f t="array" ref="J37">SUBSTITUTE(INDEX('Tableau de scores'!$C:$C,$A37),"— ","")</x:f>
        <x:v>Total intrusions (CVLT)</x:v>
      </x:c>
    </x:row>
    <x:row r="38" ht="18" customHeight="1">
      <x:c r="A38" s="377">
        <x:v>47</x:v>
      </x:c>
      <x:c r="B38" s="357" t="str">
        <x:f>_xlfn.LET(_xlpm.x,INDEX('Tableau de scores'!$D:$D,47),IF(_xlpm.x="","",UPPER(LEFT(_xlpm.x,1))&amp;MID(_xlpm.x,2,999)))</x:f>
        <x:v>Répétitions / persévérations verbales</x:v>
      </x:c>
      <x:c r="C38" s="378" t="str" cm="1">
        <x:f t="array" ref="C38">_xlfn.LET(_xlpm.x,LOWER(INDEX('Tableau de scores'!$J:$J,$A38)),IF(OR(_xlpm.x="",_xlpm.x="mesure descriptive"),"",IF(_xlpm.x="extrêmement faible","■","□")))</x:f>
        <x:v>□</x:v>
      </x:c>
      <x:c r="D38" s="378" t="str" cm="1">
        <x:f t="array" ref="D38">_xlfn.LET(_xlpm.x,LOWER(INDEX('Tableau de scores'!$J:$J,$A38)),IF(OR(_xlpm.x="",_xlpm.x="mesure descriptive"),"",IF(_xlpm.x="limite","■","□")))</x:f>
        <x:v>□</x:v>
      </x:c>
      <x:c r="E38" s="378" t="str" cm="1">
        <x:f t="array" ref="E38">_xlfn.LET(_xlpm.x,LOWER(INDEX('Tableau de scores'!$J:$J,$A38)),IF(OR(_xlpm.x="",_xlpm.x="mesure descriptive"),"",IF(_xlpm.x="moyenne faible","■","□")))</x:f>
        <x:v>□</x:v>
      </x:c>
      <x:c r="F38" s="378" t="str" cm="1">
        <x:f t="array" ref="F38">_xlfn.LET(_xlpm.x,LOWER(INDEX('Tableau de scores'!$J:$J,$A38)),IF(OR(_xlpm.x="",_xlpm.x="mesure descriptive"),"",IF(_xlpm.x="moyenne","■","□")))</x:f>
        <x:v>■</x:v>
      </x:c>
      <x:c r="G38" s="378" t="str" cm="1">
        <x:f t="array" ref="G38">_xlfn.LET(_xlpm.x,LOWER(INDEX('Tableau de scores'!$J:$J,$A38)),IF(OR(_xlpm.x="",_xlpm.x="mesure descriptive"),"",IF(_xlpm.x="moyenne élevée","■","□")))</x:f>
        <x:v>□</x:v>
      </x:c>
      <x:c r="H38" s="378" t="str" cm="1">
        <x:f t="array" ref="H38">_xlfn.LET(_xlpm.x,LOWER(INDEX('Tableau de scores'!$J:$J,$A38)),IF(OR(_xlpm.x="",_xlpm.x="mesure descriptive"),"",IF(_xlpm.x="supérieur","■","□")))</x:f>
        <x:v>□</x:v>
      </x:c>
      <x:c r="I38" s="378" t="str" cm="1">
        <x:f t="array" ref="I38">_xlfn.LET(_xlpm.x,LOWER(INDEX('Tableau de scores'!$J:$J,$A38)),IF(OR(_xlpm.x="",_xlpm.x="mesure descriptive"),"",IF(_xlpm.x="très supérieur","■","□")))</x:f>
        <x:v>□</x:v>
      </x:c>
      <x:c r="J38" s="359" t="str" cm="1">
        <x:f t="array" ref="J38">SUBSTITUTE(INDEX('Tableau de scores'!$C:$C,$A38),"— ","")</x:f>
        <x:v>Total répétitions (CVLT)</x:v>
      </x:c>
    </x:row>
    <x:row r="39" ht="18" customHeight="1">
      <x:c r="A39" s="377">
        <x:v>48</x:v>
      </x:c>
      <x:c r="B39" s="357" t="str">
        <x:f>_xlfn.LET(_xlpm.x,INDEX('Tableau de scores'!$D:$D,48),IF(_xlpm.x="","",UPPER(LEFT(_xlpm.x,1))&amp;MID(_xlpm.x,2,999)))</x:f>
        <x:v>Reconnaissance verbale — détection des cibles</x:v>
      </x:c>
      <x:c r="C39" s="378" t="str" cm="1">
        <x:f t="array" ref="C39">_xlfn.LET(_xlpm.x,LOWER(INDEX('Tableau de scores'!$J:$J,$A39)),IF(OR(_xlpm.x="",_xlpm.x="mesure descriptive"),"",IF(_xlpm.x="extrêmement faible","■","□")))</x:f>
        <x:v>□</x:v>
      </x:c>
      <x:c r="D39" s="378" t="str" cm="1">
        <x:f t="array" ref="D39">_xlfn.LET(_xlpm.x,LOWER(INDEX('Tableau de scores'!$J:$J,$A39)),IF(OR(_xlpm.x="",_xlpm.x="mesure descriptive"),"",IF(_xlpm.x="limite","■","□")))</x:f>
        <x:v>■</x:v>
      </x:c>
      <x:c r="E39" s="378" t="str" cm="1">
        <x:f t="array" ref="E39">_xlfn.LET(_xlpm.x,LOWER(INDEX('Tableau de scores'!$J:$J,$A39)),IF(OR(_xlpm.x="",_xlpm.x="mesure descriptive"),"",IF(_xlpm.x="moyenne faible","■","□")))</x:f>
        <x:v>□</x:v>
      </x:c>
      <x:c r="F39" s="378" t="str" cm="1">
        <x:f t="array" ref="F39">_xlfn.LET(_xlpm.x,LOWER(INDEX('Tableau de scores'!$J:$J,$A39)),IF(OR(_xlpm.x="",_xlpm.x="mesure descriptive"),"",IF(_xlpm.x="moyenne","■","□")))</x:f>
        <x:v>□</x:v>
      </x:c>
      <x:c r="G39" s="378" t="str" cm="1">
        <x:f t="array" ref="G39">_xlfn.LET(_xlpm.x,LOWER(INDEX('Tableau de scores'!$J:$J,$A39)),IF(OR(_xlpm.x="",_xlpm.x="mesure descriptive"),"",IF(_xlpm.x="moyenne élevée","■","□")))</x:f>
        <x:v>□</x:v>
      </x:c>
      <x:c r="H39" s="378" t="str" cm="1">
        <x:f t="array" ref="H39">_xlfn.LET(_xlpm.x,LOWER(INDEX('Tableau de scores'!$J:$J,$A39)),IF(OR(_xlpm.x="",_xlpm.x="mesure descriptive"),"",IF(_xlpm.x="supérieur","■","□")))</x:f>
        <x:v>□</x:v>
      </x:c>
      <x:c r="I39" s="378" t="str" cm="1">
        <x:f t="array" ref="I39">_xlfn.LET(_xlpm.x,LOWER(INDEX('Tableau de scores'!$J:$J,$A39)),IF(OR(_xlpm.x="",_xlpm.x="mesure descriptive"),"",IF(_xlpm.x="très supérieur","■","□")))</x:f>
        <x:v>□</x:v>
      </x:c>
      <x:c r="J39" s="359" t="str" cm="1">
        <x:f t="array" ref="J39">SUBSTITUTE(INDEX('Tableau de scores'!$C:$C,$A39),"— ","")</x:f>
        <x:v>Reconnaissance O/N total cibles (CVLT)</x:v>
      </x:c>
    </x:row>
    <x:row r="40" ht="18" customHeight="1">
      <x:c r="A40" s="377">
        <x:v>49</x:v>
      </x:c>
      <x:c r="B40" s="357" t="str">
        <x:f>_xlfn.LET(_xlpm.x,INDEX('Tableau de scores'!$D:$D,49),IF(_xlpm.x="","",UPPER(LEFT(_xlpm.x,1))&amp;MID(_xlpm.x,2,999)))</x:f>
        <x:v>Reconnaissance verbale — faux positifs</x:v>
      </x:c>
      <x:c r="C40" s="378" t="str" cm="1">
        <x:f t="array" ref="C40">_xlfn.LET(_xlpm.x,LOWER(INDEX('Tableau de scores'!$J:$J,$A40)),IF(OR(_xlpm.x="",_xlpm.x="mesure descriptive"),"",IF(_xlpm.x="extrêmement faible","■","□")))</x:f>
        <x:v>□</x:v>
      </x:c>
      <x:c r="D40" s="378" t="str" cm="1">
        <x:f t="array" ref="D40">_xlfn.LET(_xlpm.x,LOWER(INDEX('Tableau de scores'!$J:$J,$A40)),IF(OR(_xlpm.x="",_xlpm.x="mesure descriptive"),"",IF(_xlpm.x="limite","■","□")))</x:f>
        <x:v>□</x:v>
      </x:c>
      <x:c r="E40" s="378" t="str" cm="1">
        <x:f t="array" ref="E40">_xlfn.LET(_xlpm.x,LOWER(INDEX('Tableau de scores'!$J:$J,$A40)),IF(OR(_xlpm.x="",_xlpm.x="mesure descriptive"),"",IF(_xlpm.x="moyenne faible","■","□")))</x:f>
        <x:v>□</x:v>
      </x:c>
      <x:c r="F40" s="378" t="str" cm="1">
        <x:f t="array" ref="F40">_xlfn.LET(_xlpm.x,LOWER(INDEX('Tableau de scores'!$J:$J,$A40)),IF(OR(_xlpm.x="",_xlpm.x="mesure descriptive"),"",IF(_xlpm.x="moyenne","■","□")))</x:f>
        <x:v>■</x:v>
      </x:c>
      <x:c r="G40" s="378" t="str" cm="1">
        <x:f t="array" ref="G40">_xlfn.LET(_xlpm.x,LOWER(INDEX('Tableau de scores'!$J:$J,$A40)),IF(OR(_xlpm.x="",_xlpm.x="mesure descriptive"),"",IF(_xlpm.x="moyenne élevée","■","□")))</x:f>
        <x:v>□</x:v>
      </x:c>
      <x:c r="H40" s="378" t="str" cm="1">
        <x:f t="array" ref="H40">_xlfn.LET(_xlpm.x,LOWER(INDEX('Tableau de scores'!$J:$J,$A40)),IF(OR(_xlpm.x="",_xlpm.x="mesure descriptive"),"",IF(_xlpm.x="supérieur","■","□")))</x:f>
        <x:v>□</x:v>
      </x:c>
      <x:c r="I40" s="378" t="str" cm="1">
        <x:f t="array" ref="I40">_xlfn.LET(_xlpm.x,LOWER(INDEX('Tableau de scores'!$J:$J,$A40)),IF(OR(_xlpm.x="",_xlpm.x="mesure descriptive"),"",IF(_xlpm.x="très supérieur","■","□")))</x:f>
        <x:v>□</x:v>
      </x:c>
      <x:c r="J40" s="359" t="str" cm="1">
        <x:f t="array" ref="J40">SUBSTITUTE(INDEX('Tableau de scores'!$C:$C,$A40),"— ","")</x:f>
        <x:v>Reconnaissance O/N total faux positifs (CVLT)</x:v>
      </x:c>
    </x:row>
    <x:row r="41" ht="18" customHeight="1">
      <x:c r="A41" s="377">
        <x:v>50</x:v>
      </x:c>
      <x:c r="B41" s="357" t="str">
        <x:f>_xlfn.LET(_xlpm.x,INDEX('Tableau de scores'!$D:$D,50),IF(_xlpm.x="","",UPPER(LEFT(_xlpm.x,1))&amp;MID(_xlpm.x,2,999)))</x:f>
        <x:v>Reconnaissance verbale — discrimination cible/non-cible</x:v>
      </x:c>
      <x:c r="C41" s="378" t="str" cm="1">
        <x:f t="array" ref="C41">_xlfn.LET(_xlpm.x,LOWER(INDEX('Tableau de scores'!$J:$J,$A41)),IF(OR(_xlpm.x="",_xlpm.x="mesure descriptive"),"",IF(_xlpm.x="extrêmement faible","■","□")))</x:f>
        <x:v>□</x:v>
      </x:c>
      <x:c r="D41" s="378" t="str" cm="1">
        <x:f t="array" ref="D41">_xlfn.LET(_xlpm.x,LOWER(INDEX('Tableau de scores'!$J:$J,$A41)),IF(OR(_xlpm.x="",_xlpm.x="mesure descriptive"),"",IF(_xlpm.x="limite","■","□")))</x:f>
        <x:v>□</x:v>
      </x:c>
      <x:c r="E41" s="378" t="str" cm="1">
        <x:f t="array" ref="E41">_xlfn.LET(_xlpm.x,LOWER(INDEX('Tableau de scores'!$J:$J,$A41)),IF(OR(_xlpm.x="",_xlpm.x="mesure descriptive"),"",IF(_xlpm.x="moyenne faible","■","□")))</x:f>
        <x:v>□</x:v>
      </x:c>
      <x:c r="F41" s="378" t="str" cm="1">
        <x:f t="array" ref="F41">_xlfn.LET(_xlpm.x,LOWER(INDEX('Tableau de scores'!$J:$J,$A41)),IF(OR(_xlpm.x="",_xlpm.x="mesure descriptive"),"",IF(_xlpm.x="moyenne","■","□")))</x:f>
        <x:v>■</x:v>
      </x:c>
      <x:c r="G41" s="378" t="str" cm="1">
        <x:f t="array" ref="G41">_xlfn.LET(_xlpm.x,LOWER(INDEX('Tableau de scores'!$J:$J,$A41)),IF(OR(_xlpm.x="",_xlpm.x="mesure descriptive"),"",IF(_xlpm.x="moyenne élevée","■","□")))</x:f>
        <x:v>□</x:v>
      </x:c>
      <x:c r="H41" s="378" t="str" cm="1">
        <x:f t="array" ref="H41">_xlfn.LET(_xlpm.x,LOWER(INDEX('Tableau de scores'!$J:$J,$A41)),IF(OR(_xlpm.x="",_xlpm.x="mesure descriptive"),"",IF(_xlpm.x="supérieur","■","□")))</x:f>
        <x:v>□</x:v>
      </x:c>
      <x:c r="I41" s="378" t="str" cm="1">
        <x:f t="array" ref="I41">_xlfn.LET(_xlpm.x,LOWER(INDEX('Tableau de scores'!$J:$J,$A41)),IF(OR(_xlpm.x="",_xlpm.x="mesure descriptive"),"",IF(_xlpm.x="très supérieur","■","□")))</x:f>
        <x:v>□</x:v>
      </x:c>
      <x:c r="J41" s="359" t="str" cm="1">
        <x:f t="array" ref="J41">SUBSTITUTE(INDEX('Tableau de scores'!$C:$C,$A41),"— ","")</x:f>
        <x:v>Reconnaissance O/N discrimination non paramétrique (CVLT)</x:v>
      </x:c>
    </x:row>
    <x:row r="42" ht="18" customHeight="1">
      <x:c r="A42" s="377">
        <x:v>53</x:v>
      </x:c>
      <x:c r="B42" s="357" t="str">
        <x:f>_xlfn.LET(_xlpm.x,INDEX('Tableau de scores'!$D:$D,53),IF(_xlpm.x="","",UPPER(LEFT(_xlpm.x,1))&amp;MID(_xlpm.x,2,999)))</x:f>
        <x:v>Organisation visuoconstructive / planification</x:v>
      </x:c>
      <x:c r="C42" s="378" t="str" cm="1">
        <x:f t="array" ref="C42">_xlfn.LET(_xlpm.x,LOWER(INDEX('Tableau de scores'!$J:$J,$A42)),IF(OR(_xlpm.x="",_xlpm.x="mesure descriptive"),"",IF(_xlpm.x="extrêmement faible","■","□")))</x:f>
        <x:v>□</x:v>
      </x:c>
      <x:c r="D42" s="378" t="str" cm="1">
        <x:f t="array" ref="D42">_xlfn.LET(_xlpm.x,LOWER(INDEX('Tableau de scores'!$J:$J,$A42)),IF(OR(_xlpm.x="",_xlpm.x="mesure descriptive"),"",IF(_xlpm.x="limite","■","□")))</x:f>
        <x:v>■</x:v>
      </x:c>
      <x:c r="E42" s="378" t="str" cm="1">
        <x:f t="array" ref="E42">_xlfn.LET(_xlpm.x,LOWER(INDEX('Tableau de scores'!$J:$J,$A42)),IF(OR(_xlpm.x="",_xlpm.x="mesure descriptive"),"",IF(_xlpm.x="moyenne faible","■","□")))</x:f>
        <x:v>□</x:v>
      </x:c>
      <x:c r="F42" s="378" t="str" cm="1">
        <x:f t="array" ref="F42">_xlfn.LET(_xlpm.x,LOWER(INDEX('Tableau de scores'!$J:$J,$A42)),IF(OR(_xlpm.x="",_xlpm.x="mesure descriptive"),"",IF(_xlpm.x="moyenne","■","□")))</x:f>
        <x:v>□</x:v>
      </x:c>
      <x:c r="G42" s="378" t="str" cm="1">
        <x:f t="array" ref="G42">_xlfn.LET(_xlpm.x,LOWER(INDEX('Tableau de scores'!$J:$J,$A42)),IF(OR(_xlpm.x="",_xlpm.x="mesure descriptive"),"",IF(_xlpm.x="moyenne élevée","■","□")))</x:f>
        <x:v>□</x:v>
      </x:c>
      <x:c r="H42" s="378" t="str" cm="1">
        <x:f t="array" ref="H42">_xlfn.LET(_xlpm.x,LOWER(INDEX('Tableau de scores'!$J:$J,$A42)),IF(OR(_xlpm.x="",_xlpm.x="mesure descriptive"),"",IF(_xlpm.x="supérieur","■","□")))</x:f>
        <x:v>□</x:v>
      </x:c>
      <x:c r="I42" s="378" t="str" cm="1">
        <x:f t="array" ref="I42">_xlfn.LET(_xlpm.x,LOWER(INDEX('Tableau de scores'!$J:$J,$A42)),IF(OR(_xlpm.x="",_xlpm.x="mesure descriptive"),"",IF(_xlpm.x="très supérieur","■","□")))</x:f>
        <x:v>□</x:v>
      </x:c>
      <x:c r="J42" s="359" t="str" cm="1">
        <x:f t="array" ref="J42">SUBSTITUTE(INDEX('Tableau de scores'!$C:$C,$A42),"— ","")</x:f>
        <x:v>Copie (Figure complexe de Rey)</x:v>
      </x:c>
    </x:row>
    <x:row r="43" ht="18" customHeight="1">
      <x:c r="A43" s="377">
        <x:v>54</x:v>
      </x:c>
      <x:c r="B43" s="357" t="str">
        <x:f>_xlfn.LET(_xlpm.x,INDEX('Tableau de scores'!$D:$D,54),IF(_xlpm.x="","",UPPER(LEFT(_xlpm.x,1))&amp;MID(_xlpm.x,2,999)))</x:f>
        <x:v>Mémoire visuospatiale immédiate</x:v>
      </x:c>
      <x:c r="C43" s="378" t="str" cm="1">
        <x:f t="array" ref="C43">_xlfn.LET(_xlpm.x,LOWER(INDEX('Tableau de scores'!$J:$J,$A43)),IF(OR(_xlpm.x="",_xlpm.x="mesure descriptive"),"",IF(_xlpm.x="extrêmement faible","■","□")))</x:f>
        <x:v>□</x:v>
      </x:c>
      <x:c r="D43" s="378" t="str" cm="1">
        <x:f t="array" ref="D43">_xlfn.LET(_xlpm.x,LOWER(INDEX('Tableau de scores'!$J:$J,$A43)),IF(OR(_xlpm.x="",_xlpm.x="mesure descriptive"),"",IF(_xlpm.x="limite","■","□")))</x:f>
        <x:v>■</x:v>
      </x:c>
      <x:c r="E43" s="378" t="str" cm="1">
        <x:f t="array" ref="E43">_xlfn.LET(_xlpm.x,LOWER(INDEX('Tableau de scores'!$J:$J,$A43)),IF(OR(_xlpm.x="",_xlpm.x="mesure descriptive"),"",IF(_xlpm.x="moyenne faible","■","□")))</x:f>
        <x:v>□</x:v>
      </x:c>
      <x:c r="F43" s="378" t="str" cm="1">
        <x:f t="array" ref="F43">_xlfn.LET(_xlpm.x,LOWER(INDEX('Tableau de scores'!$J:$J,$A43)),IF(OR(_xlpm.x="",_xlpm.x="mesure descriptive"),"",IF(_xlpm.x="moyenne","■","□")))</x:f>
        <x:v>□</x:v>
      </x:c>
      <x:c r="G43" s="378" t="str" cm="1">
        <x:f t="array" ref="G43">_xlfn.LET(_xlpm.x,LOWER(INDEX('Tableau de scores'!$J:$J,$A43)),IF(OR(_xlpm.x="",_xlpm.x="mesure descriptive"),"",IF(_xlpm.x="moyenne élevée","■","□")))</x:f>
        <x:v>□</x:v>
      </x:c>
      <x:c r="H43" s="378" t="str" cm="1">
        <x:f t="array" ref="H43">_xlfn.LET(_xlpm.x,LOWER(INDEX('Tableau de scores'!$J:$J,$A43)),IF(OR(_xlpm.x="",_xlpm.x="mesure descriptive"),"",IF(_xlpm.x="supérieur","■","□")))</x:f>
        <x:v>□</x:v>
      </x:c>
      <x:c r="I43" s="378" t="str" cm="1">
        <x:f t="array" ref="I43">_xlfn.LET(_xlpm.x,LOWER(INDEX('Tableau de scores'!$J:$J,$A43)),IF(OR(_xlpm.x="",_xlpm.x="mesure descriptive"),"",IF(_xlpm.x="très supérieur","■","□")))</x:f>
        <x:v>□</x:v>
      </x:c>
      <x:c r="J43" s="359" t="str" cm="1">
        <x:f t="array" ref="J43">SUBSTITUTE(INDEX('Tableau de scores'!$C:$C,$A43),"— ","")</x:f>
        <x:v>Rappel immédiat (Figure complexe de Rey)</x:v>
      </x:c>
    </x:row>
    <x:row r="44" ht="18" customHeight="1">
      <x:c r="A44" s="377">
        <x:v>55</x:v>
      </x:c>
      <x:c r="B44" s="357" t="str">
        <x:f>_xlfn.LET(_xlpm.x,INDEX('Tableau de scores'!$D:$D,55),IF(_xlpm.x="","",UPPER(LEFT(_xlpm.x,1))&amp;MID(_xlpm.x,2,999)))</x:f>
        <x:v>Mémoire visuospatiale différée</x:v>
      </x:c>
      <x:c r="C44" s="378" t="str" cm="1">
        <x:f t="array" ref="C44">_xlfn.LET(_xlpm.x,LOWER(INDEX('Tableau de scores'!$J:$J,$A44)),IF(OR(_xlpm.x="",_xlpm.x="mesure descriptive"),"",IF(_xlpm.x="extrêmement faible","■","□")))</x:f>
        <x:v>■</x:v>
      </x:c>
      <x:c r="D44" s="378" t="str" cm="1">
        <x:f t="array" ref="D44">_xlfn.LET(_xlpm.x,LOWER(INDEX('Tableau de scores'!$J:$J,$A44)),IF(OR(_xlpm.x="",_xlpm.x="mesure descriptive"),"",IF(_xlpm.x="limite","■","□")))</x:f>
        <x:v>□</x:v>
      </x:c>
      <x:c r="E44" s="378" t="str" cm="1">
        <x:f t="array" ref="E44">_xlfn.LET(_xlpm.x,LOWER(INDEX('Tableau de scores'!$J:$J,$A44)),IF(OR(_xlpm.x="",_xlpm.x="mesure descriptive"),"",IF(_xlpm.x="moyenne faible","■","□")))</x:f>
        <x:v>□</x:v>
      </x:c>
      <x:c r="F44" s="378" t="str" cm="1">
        <x:f t="array" ref="F44">_xlfn.LET(_xlpm.x,LOWER(INDEX('Tableau de scores'!$J:$J,$A44)),IF(OR(_xlpm.x="",_xlpm.x="mesure descriptive"),"",IF(_xlpm.x="moyenne","■","□")))</x:f>
        <x:v>□</x:v>
      </x:c>
      <x:c r="G44" s="378" t="str" cm="1">
        <x:f t="array" ref="G44">_xlfn.LET(_xlpm.x,LOWER(INDEX('Tableau de scores'!$J:$J,$A44)),IF(OR(_xlpm.x="",_xlpm.x="mesure descriptive"),"",IF(_xlpm.x="moyenne élevée","■","□")))</x:f>
        <x:v>□</x:v>
      </x:c>
      <x:c r="H44" s="378" t="str" cm="1">
        <x:f t="array" ref="H44">_xlfn.LET(_xlpm.x,LOWER(INDEX('Tableau de scores'!$J:$J,$A44)),IF(OR(_xlpm.x="",_xlpm.x="mesure descriptive"),"",IF(_xlpm.x="supérieur","■","□")))</x:f>
        <x:v>□</x:v>
      </x:c>
      <x:c r="I44" s="378" t="str" cm="1">
        <x:f t="array" ref="I44">_xlfn.LET(_xlpm.x,LOWER(INDEX('Tableau de scores'!$J:$J,$A44)),IF(OR(_xlpm.x="",_xlpm.x="mesure descriptive"),"",IF(_xlpm.x="très supérieur","■","□")))</x:f>
        <x:v>□</x:v>
      </x:c>
      <x:c r="J44" s="359" t="str" cm="1">
        <x:f t="array" ref="J44">SUBSTITUTE(INDEX('Tableau de scores'!$C:$C,$A44),"— ","")</x:f>
        <x:v>Rappel différé (Figure complexe de Rey)</x:v>
      </x:c>
    </x:row>
    <x:row r="45" ht="18" customHeight="1">
      <x:c r="A45" s="377">
        <x:v>56</x:v>
      </x:c>
      <x:c r="B45" s="357" t="str">
        <x:f>_xlfn.LET(_xlpm.x,INDEX('Tableau de scores'!$D:$D,56),IF(_xlpm.x="","",UPPER(LEFT(_xlpm.x,1))&amp;MID(_xlpm.x,2,999)))</x:f>
        <x:v>Reconnaissance visuospatiale</x:v>
      </x:c>
      <x:c r="C45" s="378" t="str" cm="1">
        <x:f t="array" ref="C45">_xlfn.LET(_xlpm.x,LOWER(INDEX('Tableau de scores'!$J:$J,$A45)),IF(OR(_xlpm.x="",_xlpm.x="mesure descriptive"),"",IF(_xlpm.x="extrêmement faible","■","□")))</x:f>
        <x:v>□</x:v>
      </x:c>
      <x:c r="D45" s="378" t="str" cm="1">
        <x:f t="array" ref="D45">_xlfn.LET(_xlpm.x,LOWER(INDEX('Tableau de scores'!$J:$J,$A45)),IF(OR(_xlpm.x="",_xlpm.x="mesure descriptive"),"",IF(_xlpm.x="limite","■","□")))</x:f>
        <x:v>□</x:v>
      </x:c>
      <x:c r="E45" s="378" t="str" cm="1">
        <x:f t="array" ref="E45">_xlfn.LET(_xlpm.x,LOWER(INDEX('Tableau de scores'!$J:$J,$A45)),IF(OR(_xlpm.x="",_xlpm.x="mesure descriptive"),"",IF(_xlpm.x="moyenne faible","■","□")))</x:f>
        <x:v>■</x:v>
      </x:c>
      <x:c r="F45" s="378" t="str" cm="1">
        <x:f t="array" ref="F45">_xlfn.LET(_xlpm.x,LOWER(INDEX('Tableau de scores'!$J:$J,$A45)),IF(OR(_xlpm.x="",_xlpm.x="mesure descriptive"),"",IF(_xlpm.x="moyenne","■","□")))</x:f>
        <x:v>□</x:v>
      </x:c>
      <x:c r="G45" s="378" t="str" cm="1">
        <x:f t="array" ref="G45">_xlfn.LET(_xlpm.x,LOWER(INDEX('Tableau de scores'!$J:$J,$A45)),IF(OR(_xlpm.x="",_xlpm.x="mesure descriptive"),"",IF(_xlpm.x="moyenne élevée","■","□")))</x:f>
        <x:v>□</x:v>
      </x:c>
      <x:c r="H45" s="378" t="str" cm="1">
        <x:f t="array" ref="H45">_xlfn.LET(_xlpm.x,LOWER(INDEX('Tableau de scores'!$J:$J,$A45)),IF(OR(_xlpm.x="",_xlpm.x="mesure descriptive"),"",IF(_xlpm.x="supérieur","■","□")))</x:f>
        <x:v>□</x:v>
      </x:c>
      <x:c r="I45" s="378" t="str" cm="1">
        <x:f t="array" ref="I45">_xlfn.LET(_xlpm.x,LOWER(INDEX('Tableau de scores'!$J:$J,$A45)),IF(OR(_xlpm.x="",_xlpm.x="mesure descriptive"),"",IF(_xlpm.x="très supérieur","■","□")))</x:f>
        <x:v>□</x:v>
      </x:c>
      <x:c r="J45" s="359" t="str" cm="1">
        <x:f t="array" ref="J45">SUBSTITUTE(INDEX('Tableau de scores'!$C:$C,$A45),"— ","")</x:f>
        <x:v>Reconnaissance (Figure complexe de Rey)</x:v>
      </x:c>
    </x:row>
    <x:row r="46" ht="18" customHeight="1">
      <x:c r="A46" s="377">
        <x:v>57</x:v>
      </x:c>
      <x:c r="B46" s="357" t="str">
        <x:f>_xlfn.LET(_xlpm.x,INDEX('Tableau de scores'!$D:$D,57),IF(_xlpm.x="","",UPPER(LEFT(_xlpm.x,1))&amp;MID(_xlpm.x,2,999)))</x:f>
        <x:v>Efficience visuo-constructive / vitesse visuo-motrice</x:v>
      </x:c>
      <x:c r="C46" s="378" t="str" cm="1">
        <x:f t="array" ref="C46">_xlfn.LET(_xlpm.x,LOWER(INDEX('Tableau de scores'!$J:$J,$A46)),IF(OR(_xlpm.x="",_xlpm.x="mesure descriptive"),"",IF(_xlpm.x="extrêmement faible","■","□")))</x:f>
        <x:v>□</x:v>
      </x:c>
      <x:c r="D46" s="378" t="str" cm="1">
        <x:f t="array" ref="D46">_xlfn.LET(_xlpm.x,LOWER(INDEX('Tableau de scores'!$J:$J,$A46)),IF(OR(_xlpm.x="",_xlpm.x="mesure descriptive"),"",IF(_xlpm.x="limite","■","□")))</x:f>
        <x:v>■</x:v>
      </x:c>
      <x:c r="E46" s="378" t="str" cm="1">
        <x:f t="array" ref="E46">_xlfn.LET(_xlpm.x,LOWER(INDEX('Tableau de scores'!$J:$J,$A46)),IF(OR(_xlpm.x="",_xlpm.x="mesure descriptive"),"",IF(_xlpm.x="moyenne faible","■","□")))</x:f>
        <x:v>□</x:v>
      </x:c>
      <x:c r="F46" s="378" t="str" cm="1">
        <x:f t="array" ref="F46">_xlfn.LET(_xlpm.x,LOWER(INDEX('Tableau de scores'!$J:$J,$A46)),IF(OR(_xlpm.x="",_xlpm.x="mesure descriptive"),"",IF(_xlpm.x="moyenne","■","□")))</x:f>
        <x:v>□</x:v>
      </x:c>
      <x:c r="G46" s="378" t="str" cm="1">
        <x:f t="array" ref="G46">_xlfn.LET(_xlpm.x,LOWER(INDEX('Tableau de scores'!$J:$J,$A46)),IF(OR(_xlpm.x="",_xlpm.x="mesure descriptive"),"",IF(_xlpm.x="moyenne élevée","■","□")))</x:f>
        <x:v>□</x:v>
      </x:c>
      <x:c r="H46" s="378" t="str" cm="1">
        <x:f t="array" ref="H46">_xlfn.LET(_xlpm.x,LOWER(INDEX('Tableau de scores'!$J:$J,$A46)),IF(OR(_xlpm.x="",_xlpm.x="mesure descriptive"),"",IF(_xlpm.x="supérieur","■","□")))</x:f>
        <x:v>□</x:v>
      </x:c>
      <x:c r="I46" s="378" t="str" cm="1">
        <x:f t="array" ref="I46">_xlfn.LET(_xlpm.x,LOWER(INDEX('Tableau de scores'!$J:$J,$A46)),IF(OR(_xlpm.x="",_xlpm.x="mesure descriptive"),"",IF(_xlpm.x="très supérieur","■","□")))</x:f>
        <x:v>□</x:v>
      </x:c>
      <x:c r="J46" s="359" t="str" cm="1">
        <x:f t="array" ref="J46">SUBSTITUTE(INDEX('Tableau de scores'!$C:$C,$A46),"— ","")</x:f>
        <x:v>Temps de copie (Figure complexe de Rey)</x:v>
      </x:c>
    </x:row>
    <x:row r="47" ht="18" customHeight="1">
      <x:c r="A47" s="377"/>
      <x:c r="B47" s="363" t="s">
        <x:v>481</x:v>
      </x:c>
      <x:c r="C47" s="381"/>
      <x:c r="D47" s="381"/>
      <x:c r="E47" s="381"/>
      <x:c r="F47" s="381"/>
      <x:c r="G47" s="381"/>
      <x:c r="H47" s="381"/>
      <x:c r="I47" s="381"/>
      <x:c r="J47" s="371"/>
    </x:row>
    <x:row r="48" ht="18" customHeight="1">
      <x:c r="A48" s="377">
        <x:v>68</x:v>
      </x:c>
      <x:c r="B48" s="357" t="str">
        <x:f>_xlfn.LET(_xlpm.x,INDEX('Tableau de scores'!$D:$D,68),IF(_xlpm.x="","",UPPER(LEFT(_xlpm.x,1))&amp;MID(_xlpm.x,2,999)))</x:f>
        <x:v>Attention soutenue</x:v>
      </x:c>
      <x:c r="C48" s="378" t="str" cm="1">
        <x:f t="array" ref="C48">_xlfn.LET(_xlpm.x,LOWER(INDEX('Tableau de scores'!$J:$J,$A48)),IF(OR(_xlpm.x="",_xlpm.x="mesure descriptive"),"",IF(_xlpm.x="extrêmement faible","■","□")))</x:f>
        <x:v>□</x:v>
      </x:c>
      <x:c r="D48" s="378" t="str" cm="1">
        <x:f t="array" ref="D48">_xlfn.LET(_xlpm.x,LOWER(INDEX('Tableau de scores'!$J:$J,$A48)),IF(OR(_xlpm.x="",_xlpm.x="mesure descriptive"),"",IF(_xlpm.x="limite","■","□")))</x:f>
        <x:v>□</x:v>
      </x:c>
      <x:c r="E48" s="378" t="str" cm="1">
        <x:f t="array" ref="E48">_xlfn.LET(_xlpm.x,LOWER(INDEX('Tableau de scores'!$J:$J,$A48)),IF(OR(_xlpm.x="",_xlpm.x="mesure descriptive"),"",IF(_xlpm.x="moyenne faible","■","□")))</x:f>
        <x:v>□</x:v>
      </x:c>
      <x:c r="F48" s="378" t="str" cm="1">
        <x:f t="array" ref="F48">_xlfn.LET(_xlpm.x,LOWER(INDEX('Tableau de scores'!$J:$J,$A48)),IF(OR(_xlpm.x="",_xlpm.x="mesure descriptive"),"",IF(_xlpm.x="moyenne","■","□")))</x:f>
        <x:v>■</x:v>
      </x:c>
      <x:c r="G48" s="378" t="str" cm="1">
        <x:f t="array" ref="G48">_xlfn.LET(_xlpm.x,LOWER(INDEX('Tableau de scores'!$J:$J,$A48)),IF(OR(_xlpm.x="",_xlpm.x="mesure descriptive"),"",IF(_xlpm.x="moyenne élevée","■","□")))</x:f>
        <x:v>□</x:v>
      </x:c>
      <x:c r="H48" s="378" t="str" cm="1">
        <x:f t="array" ref="H48">_xlfn.LET(_xlpm.x,LOWER(INDEX('Tableau de scores'!$J:$J,$A48)),IF(OR(_xlpm.x="",_xlpm.x="mesure descriptive"),"",IF(_xlpm.x="supérieur","■","□")))</x:f>
        <x:v>□</x:v>
      </x:c>
      <x:c r="I48" s="378" t="str" cm="1">
        <x:f t="array" ref="I48">_xlfn.LET(_xlpm.x,LOWER(INDEX('Tableau de scores'!$J:$J,$A48)),IF(OR(_xlpm.x="",_xlpm.x="mesure descriptive"),"",IF(_xlpm.x="très supérieur","■","□")))</x:f>
        <x:v>□</x:v>
      </x:c>
      <x:c r="J48" s="359" t="str" cm="1">
        <x:f t="array" ref="J48">SUBSTITUTE(INDEX('Tableau de scores'!$C:$C,$A48),"— ","")</x:f>
        <x:v>HRT Block Change (CPT)</x:v>
      </x:c>
    </x:row>
    <x:row r="49" ht="18" customHeight="1">
      <x:c r="A49" s="377">
        <x:v>69</x:v>
      </x:c>
      <x:c r="B49" s="357" t="str">
        <x:f>_xlfn.LET(_xlpm.x,INDEX('Tableau de scores'!$D:$D,69),IF(_xlpm.x="","",UPPER(LEFT(_xlpm.x,1))&amp;MID(_xlpm.x,2,999)))</x:f>
        <x:v>Vigilance</x:v>
      </x:c>
      <x:c r="C49" s="378" t="str" cm="1">
        <x:f t="array" ref="C49">_xlfn.LET(_xlpm.x,LOWER(INDEX('Tableau de scores'!$J:$J,$A49)),IF(OR(_xlpm.x="",_xlpm.x="mesure descriptive"),"",IF(_xlpm.x="extrêmement faible","■","□")))</x:f>
        <x:v>□</x:v>
      </x:c>
      <x:c r="D49" s="378" t="str" cm="1">
        <x:f t="array" ref="D49">_xlfn.LET(_xlpm.x,LOWER(INDEX('Tableau de scores'!$J:$J,$A49)),IF(OR(_xlpm.x="",_xlpm.x="mesure descriptive"),"",IF(_xlpm.x="limite","■","□")))</x:f>
        <x:v>□</x:v>
      </x:c>
      <x:c r="E49" s="378" t="str" cm="1">
        <x:f t="array" ref="E49">_xlfn.LET(_xlpm.x,LOWER(INDEX('Tableau de scores'!$J:$J,$A49)),IF(OR(_xlpm.x="",_xlpm.x="mesure descriptive"),"",IF(_xlpm.x="moyenne faible","■","□")))</x:f>
        <x:v>□</x:v>
      </x:c>
      <x:c r="F49" s="378" t="str" cm="1">
        <x:f t="array" ref="F49">_xlfn.LET(_xlpm.x,LOWER(INDEX('Tableau de scores'!$J:$J,$A49)),IF(OR(_xlpm.x="",_xlpm.x="mesure descriptive"),"",IF(_xlpm.x="moyenne","■","□")))</x:f>
        <x:v>■</x:v>
      </x:c>
      <x:c r="G49" s="378" t="str" cm="1">
        <x:f t="array" ref="G49">_xlfn.LET(_xlpm.x,LOWER(INDEX('Tableau de scores'!$J:$J,$A49)),IF(OR(_xlpm.x="",_xlpm.x="mesure descriptive"),"",IF(_xlpm.x="moyenne élevée","■","□")))</x:f>
        <x:v>□</x:v>
      </x:c>
      <x:c r="H49" s="378" t="str" cm="1">
        <x:f t="array" ref="H49">_xlfn.LET(_xlpm.x,LOWER(INDEX('Tableau de scores'!$J:$J,$A49)),IF(OR(_xlpm.x="",_xlpm.x="mesure descriptive"),"",IF(_xlpm.x="supérieur","■","□")))</x:f>
        <x:v>□</x:v>
      </x:c>
      <x:c r="I49" s="378" t="str" cm="1">
        <x:f t="array" ref="I49">_xlfn.LET(_xlpm.x,LOWER(INDEX('Tableau de scores'!$J:$J,$A49)),IF(OR(_xlpm.x="",_xlpm.x="mesure descriptive"),"",IF(_xlpm.x="très supérieur","■","□")))</x:f>
        <x:v>□</x:v>
      </x:c>
      <x:c r="J49" s="359" t="str" cm="1">
        <x:f t="array" ref="J49">SUBSTITUTE(INDEX('Tableau de scores'!$C:$C,$A49),"— ","")</x:f>
        <x:v>HRT ISI Change (CPT)</x:v>
      </x:c>
    </x:row>
    <x:row r="50" ht="18" customHeight="1">
      <x:c r="A50" s="377">
        <x:v>61</x:v>
      </x:c>
      <x:c r="B50" s="357" t="str">
        <x:f>_xlfn.LET(_xlpm.x,INDEX('Tableau de scores'!$D:$D,61),IF(_xlpm.x="","",UPPER(LEFT(_xlpm.x,1))&amp;MID(_xlpm.x,2,999)))</x:f>
        <x:v>Discrimination cible-non-cible</x:v>
      </x:c>
      <x:c r="C50" s="378" t="str" cm="1">
        <x:f t="array" ref="C50">_xlfn.LET(_xlpm.x,LOWER(INDEX('Tableau de scores'!$J:$J,$A50)),IF(OR(_xlpm.x="",_xlpm.x="mesure descriptive"),"",IF(_xlpm.x="extrêmement faible","■","□")))</x:f>
        <x:v>□</x:v>
      </x:c>
      <x:c r="D50" s="378" t="str" cm="1">
        <x:f t="array" ref="D50">_xlfn.LET(_xlpm.x,LOWER(INDEX('Tableau de scores'!$J:$J,$A50)),IF(OR(_xlpm.x="",_xlpm.x="mesure descriptive"),"",IF(_xlpm.x="limite","■","□")))</x:f>
        <x:v>□</x:v>
      </x:c>
      <x:c r="E50" s="378" t="str" cm="1">
        <x:f t="array" ref="E50">_xlfn.LET(_xlpm.x,LOWER(INDEX('Tableau de scores'!$J:$J,$A50)),IF(OR(_xlpm.x="",_xlpm.x="mesure descriptive"),"",IF(_xlpm.x="moyenne faible","■","□")))</x:f>
        <x:v>□</x:v>
      </x:c>
      <x:c r="F50" s="378" t="str" cm="1">
        <x:f t="array" ref="F50">_xlfn.LET(_xlpm.x,LOWER(INDEX('Tableau de scores'!$J:$J,$A50)),IF(OR(_xlpm.x="",_xlpm.x="mesure descriptive"),"",IF(_xlpm.x="moyenne","■","□")))</x:f>
        <x:v>■</x:v>
      </x:c>
      <x:c r="G50" s="378" t="str" cm="1">
        <x:f t="array" ref="G50">_xlfn.LET(_xlpm.x,LOWER(INDEX('Tableau de scores'!$J:$J,$A50)),IF(OR(_xlpm.x="",_xlpm.x="mesure descriptive"),"",IF(_xlpm.x="moyenne élevée","■","□")))</x:f>
        <x:v>□</x:v>
      </x:c>
      <x:c r="H50" s="378" t="str" cm="1">
        <x:f t="array" ref="H50">_xlfn.LET(_xlpm.x,LOWER(INDEX('Tableau de scores'!$J:$J,$A50)),IF(OR(_xlpm.x="",_xlpm.x="mesure descriptive"),"",IF(_xlpm.x="supérieur","■","□")))</x:f>
        <x:v>□</x:v>
      </x:c>
      <x:c r="I50" s="378" t="str" cm="1">
        <x:f t="array" ref="I50">_xlfn.LET(_xlpm.x,LOWER(INDEX('Tableau de scores'!$J:$J,$A50)),IF(OR(_xlpm.x="",_xlpm.x="mesure descriptive"),"",IF(_xlpm.x="très supérieur","■","□")))</x:f>
        <x:v>□</x:v>
      </x:c>
      <x:c r="J50" s="359" t="str" cm="1">
        <x:f t="array" ref="J50">SUBSTITUTE(INDEX('Tableau de scores'!$C:$C,$A50),"— ","")</x:f>
        <x:v>Détectabilité (d') (CPT)</x:v>
      </x:c>
    </x:row>
    <x:row r="51" ht="18" customHeight="1">
      <x:c r="A51" s="377">
        <x:v>62</x:v>
      </x:c>
      <x:c r="B51" s="357" t="str">
        <x:f>_xlfn.LET(_xlpm.x,INDEX('Tableau de scores'!$D:$D,62),IF(_xlpm.x="","",UPPER(LEFT(_xlpm.x,1))&amp;MID(_xlpm.x,2,999)))</x:f>
        <x:v>Inattention</x:v>
      </x:c>
      <x:c r="C51" s="378" t="str" cm="1">
        <x:f t="array" ref="C51">_xlfn.LET(_xlpm.x,LOWER(INDEX('Tableau de scores'!$J:$J,$A51)),IF(OR(_xlpm.x="",_xlpm.x="mesure descriptive"),"",IF(_xlpm.x="extrêmement faible","■","□")))</x:f>
        <x:v>□</x:v>
      </x:c>
      <x:c r="D51" s="378" t="str" cm="1">
        <x:f t="array" ref="D51">_xlfn.LET(_xlpm.x,LOWER(INDEX('Tableau de scores'!$J:$J,$A51)),IF(OR(_xlpm.x="",_xlpm.x="mesure descriptive"),"",IF(_xlpm.x="limite","■","□")))</x:f>
        <x:v>□</x:v>
      </x:c>
      <x:c r="E51" s="378" t="str" cm="1">
        <x:f t="array" ref="E51">_xlfn.LET(_xlpm.x,LOWER(INDEX('Tableau de scores'!$J:$J,$A51)),IF(OR(_xlpm.x="",_xlpm.x="mesure descriptive"),"",IF(_xlpm.x="moyenne faible","■","□")))</x:f>
        <x:v>□</x:v>
      </x:c>
      <x:c r="F51" s="378" t="str" cm="1">
        <x:f t="array" ref="F51">_xlfn.LET(_xlpm.x,LOWER(INDEX('Tableau de scores'!$J:$J,$A51)),IF(OR(_xlpm.x="",_xlpm.x="mesure descriptive"),"",IF(_xlpm.x="moyenne","■","□")))</x:f>
        <x:v>■</x:v>
      </x:c>
      <x:c r="G51" s="378" t="str" cm="1">
        <x:f t="array" ref="G51">_xlfn.LET(_xlpm.x,LOWER(INDEX('Tableau de scores'!$J:$J,$A51)),IF(OR(_xlpm.x="",_xlpm.x="mesure descriptive"),"",IF(_xlpm.x="moyenne élevée","■","□")))</x:f>
        <x:v>□</x:v>
      </x:c>
      <x:c r="H51" s="378" t="str" cm="1">
        <x:f t="array" ref="H51">_xlfn.LET(_xlpm.x,LOWER(INDEX('Tableau de scores'!$J:$J,$A51)),IF(OR(_xlpm.x="",_xlpm.x="mesure descriptive"),"",IF(_xlpm.x="supérieur","■","□")))</x:f>
        <x:v>□</x:v>
      </x:c>
      <x:c r="I51" s="378" t="str" cm="1">
        <x:f t="array" ref="I51">_xlfn.LET(_xlpm.x,LOWER(INDEX('Tableau de scores'!$J:$J,$A51)),IF(OR(_xlpm.x="",_xlpm.x="mesure descriptive"),"",IF(_xlpm.x="très supérieur","■","□")))</x:f>
        <x:v>□</x:v>
      </x:c>
      <x:c r="J51" s="359" t="str" cm="1">
        <x:f t="array" ref="J51">SUBSTITUTE(INDEX('Tableau de scores'!$C:$C,$A51),"— ","")</x:f>
        <x:v>Omissions (CPT)</x:v>
      </x:c>
    </x:row>
    <x:row r="52" ht="18" customHeight="1">
      <x:c r="A52" s="377">
        <x:v>63</x:v>
      </x:c>
      <x:c r="B52" s="357" t="str">
        <x:f>_xlfn.LET(_xlpm.x,INDEX('Tableau de scores'!$D:$D,63),IF(_xlpm.x="","",UPPER(LEFT(_xlpm.x,1))&amp;MID(_xlpm.x,2,999)))</x:f>
        <x:v>Contrôle de réponse / impulsivité</x:v>
      </x:c>
      <x:c r="C52" s="378" t="str" cm="1">
        <x:f t="array" ref="C52">_xlfn.LET(_xlpm.x,LOWER(INDEX('Tableau de scores'!$J:$J,$A52)),IF(OR(_xlpm.x="",_xlpm.x="mesure descriptive"),"",IF(_xlpm.x="extrêmement faible","■","□")))</x:f>
        <x:v>□</x:v>
      </x:c>
      <x:c r="D52" s="378" t="str" cm="1">
        <x:f t="array" ref="D52">_xlfn.LET(_xlpm.x,LOWER(INDEX('Tableau de scores'!$J:$J,$A52)),IF(OR(_xlpm.x="",_xlpm.x="mesure descriptive"),"",IF(_xlpm.x="limite","■","□")))</x:f>
        <x:v>□</x:v>
      </x:c>
      <x:c r="E52" s="378" t="str" cm="1">
        <x:f t="array" ref="E52">_xlfn.LET(_xlpm.x,LOWER(INDEX('Tableau de scores'!$J:$J,$A52)),IF(OR(_xlpm.x="",_xlpm.x="mesure descriptive"),"",IF(_xlpm.x="moyenne faible","■","□")))</x:f>
        <x:v>□</x:v>
      </x:c>
      <x:c r="F52" s="378" t="str" cm="1">
        <x:f t="array" ref="F52">_xlfn.LET(_xlpm.x,LOWER(INDEX('Tableau de scores'!$J:$J,$A52)),IF(OR(_xlpm.x="",_xlpm.x="mesure descriptive"),"",IF(_xlpm.x="moyenne","■","□")))</x:f>
        <x:v>■</x:v>
      </x:c>
      <x:c r="G52" s="378" t="str" cm="1">
        <x:f t="array" ref="G52">_xlfn.LET(_xlpm.x,LOWER(INDEX('Tableau de scores'!$J:$J,$A52)),IF(OR(_xlpm.x="",_xlpm.x="mesure descriptive"),"",IF(_xlpm.x="moyenne élevée","■","□")))</x:f>
        <x:v>□</x:v>
      </x:c>
      <x:c r="H52" s="378" t="str" cm="1">
        <x:f t="array" ref="H52">_xlfn.LET(_xlpm.x,LOWER(INDEX('Tableau de scores'!$J:$J,$A52)),IF(OR(_xlpm.x="",_xlpm.x="mesure descriptive"),"",IF(_xlpm.x="supérieur","■","□")))</x:f>
        <x:v>□</x:v>
      </x:c>
      <x:c r="I52" s="378" t="str" cm="1">
        <x:f t="array" ref="I52">_xlfn.LET(_xlpm.x,LOWER(INDEX('Tableau de scores'!$J:$J,$A52)),IF(OR(_xlpm.x="",_xlpm.x="mesure descriptive"),"",IF(_xlpm.x="très supérieur","■","□")))</x:f>
        <x:v>□</x:v>
      </x:c>
      <x:c r="J52" s="359" t="str" cm="1">
        <x:f t="array" ref="J52">SUBSTITUTE(INDEX('Tableau de scores'!$C:$C,$A52),"— ","")</x:f>
        <x:v>Commissions (CPT)</x:v>
      </x:c>
    </x:row>
    <x:row r="53" ht="18" customHeight="1">
      <x:c r="A53" s="377">
        <x:v>64</x:v>
      </x:c>
      <x:c r="B53" s="357" t="str">
        <x:f>_xlfn.LET(_xlpm.x,INDEX('Tableau de scores'!$D:$D,64),IF(_xlpm.x="","",UPPER(LEFT(_xlpm.x,1))&amp;MID(_xlpm.x,2,999)))</x:f>
        <x:v>Impulsivité / anticipation</x:v>
      </x:c>
      <x:c r="C53" s="378" t="str" cm="1">
        <x:f t="array" ref="C53">_xlfn.LET(_xlpm.x,LOWER(INDEX('Tableau de scores'!$J:$J,$A53)),IF(OR(_xlpm.x="",_xlpm.x="mesure descriptive"),"",IF(_xlpm.x="extrêmement faible","■","□")))</x:f>
        <x:v>□</x:v>
      </x:c>
      <x:c r="D53" s="378" t="str" cm="1">
        <x:f t="array" ref="D53">_xlfn.LET(_xlpm.x,LOWER(INDEX('Tableau de scores'!$J:$J,$A53)),IF(OR(_xlpm.x="",_xlpm.x="mesure descriptive"),"",IF(_xlpm.x="limite","■","□")))</x:f>
        <x:v>□</x:v>
      </x:c>
      <x:c r="E53" s="378" t="str" cm="1">
        <x:f t="array" ref="E53">_xlfn.LET(_xlpm.x,LOWER(INDEX('Tableau de scores'!$J:$J,$A53)),IF(OR(_xlpm.x="",_xlpm.x="mesure descriptive"),"",IF(_xlpm.x="moyenne faible","■","□")))</x:f>
        <x:v>□</x:v>
      </x:c>
      <x:c r="F53" s="378" t="str" cm="1">
        <x:f t="array" ref="F53">_xlfn.LET(_xlpm.x,LOWER(INDEX('Tableau de scores'!$J:$J,$A53)),IF(OR(_xlpm.x="",_xlpm.x="mesure descriptive"),"",IF(_xlpm.x="moyenne","■","□")))</x:f>
        <x:v>■</x:v>
      </x:c>
      <x:c r="G53" s="378" t="str" cm="1">
        <x:f t="array" ref="G53">_xlfn.LET(_xlpm.x,LOWER(INDEX('Tableau de scores'!$J:$J,$A53)),IF(OR(_xlpm.x="",_xlpm.x="mesure descriptive"),"",IF(_xlpm.x="moyenne élevée","■","□")))</x:f>
        <x:v>□</x:v>
      </x:c>
      <x:c r="H53" s="378" t="str" cm="1">
        <x:f t="array" ref="H53">_xlfn.LET(_xlpm.x,LOWER(INDEX('Tableau de scores'!$J:$J,$A53)),IF(OR(_xlpm.x="",_xlpm.x="mesure descriptive"),"",IF(_xlpm.x="supérieur","■","□")))</x:f>
        <x:v>□</x:v>
      </x:c>
      <x:c r="I53" s="378" t="str" cm="1">
        <x:f t="array" ref="I53">_xlfn.LET(_xlpm.x,LOWER(INDEX('Tableau de scores'!$J:$J,$A53)),IF(OR(_xlpm.x="",_xlpm.x="mesure descriptive"),"",IF(_xlpm.x="très supérieur","■","□")))</x:f>
        <x:v>□</x:v>
      </x:c>
      <x:c r="J53" s="359" t="str" cm="1">
        <x:f t="array" ref="J53">SUBSTITUTE(INDEX('Tableau de scores'!$C:$C,$A53),"— ","")</x:f>
        <x:v>Persévérations (CPT)</x:v>
      </x:c>
    </x:row>
    <x:row r="54" ht="18" customHeight="1">
      <x:c r="A54" s="377">
        <x:v>65</x:v>
      </x:c>
      <x:c r="B54" s="357" t="str">
        <x:f>_xlfn.LET(_xlpm.x,INDEX('Tableau de scores'!$D:$D,65),IF(_xlpm.x="","",UPPER(LEFT(_xlpm.x,1))&amp;MID(_xlpm.x,2,999)))</x:f>
        <x:v>Vitesse de réponse</x:v>
      </x:c>
      <x:c r="C54" s="378" t="str" cm="1">
        <x:f t="array" ref="C54">_xlfn.LET(_xlpm.x,LOWER(INDEX('Tableau de scores'!$J:$J,$A54)),IF(OR(_xlpm.x="",_xlpm.x="mesure descriptive"),"",IF(_xlpm.x="extrêmement faible","■","□")))</x:f>
        <x:v>□</x:v>
      </x:c>
      <x:c r="D54" s="378" t="str" cm="1">
        <x:f t="array" ref="D54">_xlfn.LET(_xlpm.x,LOWER(INDEX('Tableau de scores'!$J:$J,$A54)),IF(OR(_xlpm.x="",_xlpm.x="mesure descriptive"),"",IF(_xlpm.x="limite","■","□")))</x:f>
        <x:v>□</x:v>
      </x:c>
      <x:c r="E54" s="378" t="str" cm="1">
        <x:f t="array" ref="E54">_xlfn.LET(_xlpm.x,LOWER(INDEX('Tableau de scores'!$J:$J,$A54)),IF(OR(_xlpm.x="",_xlpm.x="mesure descriptive"),"",IF(_xlpm.x="moyenne faible","■","□")))</x:f>
        <x:v>□</x:v>
      </x:c>
      <x:c r="F54" s="378" t="str" cm="1">
        <x:f t="array" ref="F54">_xlfn.LET(_xlpm.x,LOWER(INDEX('Tableau de scores'!$J:$J,$A54)),IF(OR(_xlpm.x="",_xlpm.x="mesure descriptive"),"",IF(_xlpm.x="moyenne","■","□")))</x:f>
        <x:v>■</x:v>
      </x:c>
      <x:c r="G54" s="378" t="str" cm="1">
        <x:f t="array" ref="G54">_xlfn.LET(_xlpm.x,LOWER(INDEX('Tableau de scores'!$J:$J,$A54)),IF(OR(_xlpm.x="",_xlpm.x="mesure descriptive"),"",IF(_xlpm.x="moyenne élevée","■","□")))</x:f>
        <x:v>□</x:v>
      </x:c>
      <x:c r="H54" s="378" t="str" cm="1">
        <x:f t="array" ref="H54">_xlfn.LET(_xlpm.x,LOWER(INDEX('Tableau de scores'!$J:$J,$A54)),IF(OR(_xlpm.x="",_xlpm.x="mesure descriptive"),"",IF(_xlpm.x="supérieur","■","□")))</x:f>
        <x:v>□</x:v>
      </x:c>
      <x:c r="I54" s="378" t="str" cm="1">
        <x:f t="array" ref="I54">_xlfn.LET(_xlpm.x,LOWER(INDEX('Tableau de scores'!$J:$J,$A54)),IF(OR(_xlpm.x="",_xlpm.x="mesure descriptive"),"",IF(_xlpm.x="très supérieur","■","□")))</x:f>
        <x:v>□</x:v>
      </x:c>
      <x:c r="J54" s="359" t="str" cm="1">
        <x:f t="array" ref="J54">SUBSTITUTE(INDEX('Tableau de scores'!$C:$C,$A54),"— ","")</x:f>
        <x:v>HRT (CPT)</x:v>
      </x:c>
    </x:row>
    <x:row r="55" ht="18" customHeight="1">
      <x:c r="A55" s="377">
        <x:v>66</x:v>
      </x:c>
      <x:c r="B55" s="357" t="str">
        <x:f>"Constance attentionnelle / dispersion temporelle"</x:f>
        <x:v>Constance attentionnelle / dispersion temporelle</x:v>
      </x:c>
      <x:c r="C55" s="378" t="str" cm="1">
        <x:f t="array" ref="C55">_xlfn.LET(_xlpm.x,LOWER(INDEX('Tableau de scores'!$J:$J,$A55)),IF(OR(_xlpm.x="",_xlpm.x="mesure descriptive"),"",IF(_xlpm.x="extrêmement faible","■","□")))</x:f>
        <x:v>□</x:v>
      </x:c>
      <x:c r="D55" s="378" t="str" cm="1">
        <x:f t="array" ref="D55">_xlfn.LET(_xlpm.x,LOWER(INDEX('Tableau de scores'!$J:$J,$A55)),IF(OR(_xlpm.x="",_xlpm.x="mesure descriptive"),"",IF(_xlpm.x="limite","■","□")))</x:f>
        <x:v>□</x:v>
      </x:c>
      <x:c r="E55" s="378" t="str" cm="1">
        <x:f t="array" ref="E55">_xlfn.LET(_xlpm.x,LOWER(INDEX('Tableau de scores'!$J:$J,$A55)),IF(OR(_xlpm.x="",_xlpm.x="mesure descriptive"),"",IF(_xlpm.x="moyenne faible","■","□")))</x:f>
        <x:v>□</x:v>
      </x:c>
      <x:c r="F55" s="378" t="str" cm="1">
        <x:f t="array" ref="F55">_xlfn.LET(_xlpm.x,LOWER(INDEX('Tableau de scores'!$J:$J,$A55)),IF(OR(_xlpm.x="",_xlpm.x="mesure descriptive"),"",IF(_xlpm.x="moyenne","■","□")))</x:f>
        <x:v>■</x:v>
      </x:c>
      <x:c r="G55" s="378" t="str" cm="1">
        <x:f t="array" ref="G55">_xlfn.LET(_xlpm.x,LOWER(INDEX('Tableau de scores'!$J:$J,$A55)),IF(OR(_xlpm.x="",_xlpm.x="mesure descriptive"),"",IF(_xlpm.x="moyenne élevée","■","□")))</x:f>
        <x:v>□</x:v>
      </x:c>
      <x:c r="H55" s="378" t="str" cm="1">
        <x:f t="array" ref="H55">_xlfn.LET(_xlpm.x,LOWER(INDEX('Tableau de scores'!$J:$J,$A55)),IF(OR(_xlpm.x="",_xlpm.x="mesure descriptive"),"",IF(_xlpm.x="supérieur","■","□")))</x:f>
        <x:v>□</x:v>
      </x:c>
      <x:c r="I55" s="378" t="str" cm="1">
        <x:f t="array" ref="I55">_xlfn.LET(_xlpm.x,LOWER(INDEX('Tableau de scores'!$J:$J,$A55)),IF(OR(_xlpm.x="",_xlpm.x="mesure descriptive"),"",IF(_xlpm.x="très supérieur","■","□")))</x:f>
        <x:v>□</x:v>
      </x:c>
      <x:c r="J55" s="359" t="str" cm="1">
        <x:f t="array" ref="J55">SUBSTITUTE(INDEX('Tableau de scores'!$C:$C,$A55),"— ","")</x:f>
        <x:v>HRT SD (CPT)</x:v>
      </x:c>
    </x:row>
    <x:row r="56" ht="18" customHeight="1">
      <x:c r="A56" s="377">
        <x:v>67</x:v>
      </x:c>
      <x:c r="B56" s="357" t="str">
        <x:f>"Constance attentionnelle / variabilité"</x:f>
        <x:v>Constance attentionnelle / variabilité</x:v>
      </x:c>
      <x:c r="C56" s="378" t="str" cm="1">
        <x:f t="array" ref="C56">_xlfn.LET(_xlpm.x,LOWER(INDEX('Tableau de scores'!$J:$J,$A56)),IF(OR(_xlpm.x="",_xlpm.x="mesure descriptive"),"",IF(_xlpm.x="extrêmement faible","■","□")))</x:f>
        <x:v>□</x:v>
      </x:c>
      <x:c r="D56" s="378" t="str" cm="1">
        <x:f t="array" ref="D56">_xlfn.LET(_xlpm.x,LOWER(INDEX('Tableau de scores'!$J:$J,$A56)),IF(OR(_xlpm.x="",_xlpm.x="mesure descriptive"),"",IF(_xlpm.x="limite","■","□")))</x:f>
        <x:v>□</x:v>
      </x:c>
      <x:c r="E56" s="378" t="str" cm="1">
        <x:f t="array" ref="E56">_xlfn.LET(_xlpm.x,LOWER(INDEX('Tableau de scores'!$J:$J,$A56)),IF(OR(_xlpm.x="",_xlpm.x="mesure descriptive"),"",IF(_xlpm.x="moyenne faible","■","□")))</x:f>
        <x:v>□</x:v>
      </x:c>
      <x:c r="F56" s="378" t="str" cm="1">
        <x:f t="array" ref="F56">_xlfn.LET(_xlpm.x,LOWER(INDEX('Tableau de scores'!$J:$J,$A56)),IF(OR(_xlpm.x="",_xlpm.x="mesure descriptive"),"",IF(_xlpm.x="moyenne","■","□")))</x:f>
        <x:v>■</x:v>
      </x:c>
      <x:c r="G56" s="378" t="str" cm="1">
        <x:f t="array" ref="G56">_xlfn.LET(_xlpm.x,LOWER(INDEX('Tableau de scores'!$J:$J,$A56)),IF(OR(_xlpm.x="",_xlpm.x="mesure descriptive"),"",IF(_xlpm.x="moyenne élevée","■","□")))</x:f>
        <x:v>□</x:v>
      </x:c>
      <x:c r="H56" s="378" t="str" cm="1">
        <x:f t="array" ref="H56">_xlfn.LET(_xlpm.x,LOWER(INDEX('Tableau de scores'!$J:$J,$A56)),IF(OR(_xlpm.x="",_xlpm.x="mesure descriptive"),"",IF(_xlpm.x="supérieur","■","□")))</x:f>
        <x:v>□</x:v>
      </x:c>
      <x:c r="I56" s="378" t="str" cm="1">
        <x:f t="array" ref="I56">_xlfn.LET(_xlpm.x,LOWER(INDEX('Tableau de scores'!$J:$J,$A56)),IF(OR(_xlpm.x="",_xlpm.x="mesure descriptive"),"",IF(_xlpm.x="très supérieur","■","□")))</x:f>
        <x:v>□</x:v>
      </x:c>
      <x:c r="J56" s="359" t="str" cm="1">
        <x:f t="array" ref="J56">SUBSTITUTE(INDEX('Tableau de scores'!$C:$C,$A56),"— ","")</x:f>
        <x:v>Variabilité (CPT)</x:v>
      </x:c>
    </x:row>
    <x:row r="57" ht="18" customHeight="1">
      <x:c r="A57" s="377"/>
      <x:c r="B57" s="363" t="s">
        <x:v>482</x:v>
      </x:c>
      <x:c r="C57" s="381"/>
      <x:c r="D57" s="381"/>
      <x:c r="E57" s="381"/>
      <x:c r="F57" s="381"/>
      <x:c r="G57" s="381"/>
      <x:c r="H57" s="381"/>
      <x:c r="I57" s="381"/>
      <x:c r="J57" s="371"/>
    </x:row>
    <x:row r="58" ht="18" customHeight="1">
      <x:c r="A58" s="377">
        <x:v>72</x:v>
      </x:c>
      <x:c r="B58" s="357" t="str">
        <x:f>"Inhibition de réponse / résistance à l’interférence"</x:f>
        <x:v>Inhibition de réponse / résistance à l’interférence</x:v>
      </x:c>
      <x:c r="C58" s="378" t="str" cm="1">
        <x:f t="array" ref="C58">_xlfn.LET(_xlpm.x,LOWER(INDEX('Tableau de scores'!$J:$J,$A58)),IF(OR(_xlpm.x="",_xlpm.x="mesure descriptive"),"",IF(_xlpm.x="extrêmement faible","■","□")))</x:f>
        <x:v>□</x:v>
      </x:c>
      <x:c r="D58" s="378" t="str" cm="1">
        <x:f t="array" ref="D58">_xlfn.LET(_xlpm.x,LOWER(INDEX('Tableau de scores'!$J:$J,$A58)),IF(OR(_xlpm.x="",_xlpm.x="mesure descriptive"),"",IF(_xlpm.x="limite","■","□")))</x:f>
        <x:v>□</x:v>
      </x:c>
      <x:c r="E58" s="378" t="str" cm="1">
        <x:f t="array" ref="E58">_xlfn.LET(_xlpm.x,LOWER(INDEX('Tableau de scores'!$J:$J,$A58)),IF(OR(_xlpm.x="",_xlpm.x="mesure descriptive"),"",IF(_xlpm.x="moyenne faible","■","□")))</x:f>
        <x:v>□</x:v>
      </x:c>
      <x:c r="F58" s="378" t="str" cm="1">
        <x:f t="array" ref="F58">_xlfn.LET(_xlpm.x,LOWER(INDEX('Tableau de scores'!$J:$J,$A58)),IF(OR(_xlpm.x="",_xlpm.x="mesure descriptive"),"",IF(_xlpm.x="moyenne","■","□")))</x:f>
        <x:v>□</x:v>
      </x:c>
      <x:c r="G58" s="378" t="str" cm="1">
        <x:f t="array" ref="G58">_xlfn.LET(_xlpm.x,LOWER(INDEX('Tableau de scores'!$J:$J,$A58)),IF(OR(_xlpm.x="",_xlpm.x="mesure descriptive"),"",IF(_xlpm.x="moyenne élevée","■","□")))</x:f>
        <x:v>□</x:v>
      </x:c>
      <x:c r="H58" s="378" t="str" cm="1">
        <x:f t="array" ref="H58">_xlfn.LET(_xlpm.x,LOWER(INDEX('Tableau de scores'!$J:$J,$A58)),IF(OR(_xlpm.x="",_xlpm.x="mesure descriptive"),"",IF(_xlpm.x="supérieur","■","□")))</x:f>
        <x:v>□</x:v>
      </x:c>
      <x:c r="I58" s="378" t="str" cm="1">
        <x:f t="array" ref="I58">_xlfn.LET(_xlpm.x,LOWER(INDEX('Tableau de scores'!$J:$J,$A58)),IF(OR(_xlpm.x="",_xlpm.x="mesure descriptive"),"",IF(_xlpm.x="très supérieur","■","□")))</x:f>
        <x:v>■</x:v>
      </x:c>
      <x:c r="J58" s="359" t="str" cm="1">
        <x:f t="array" ref="J58">SUBSTITUTE(INDEX('Tableau de scores'!$C:$C,$A58),"— ","")</x:f>
        <x:v>Condition 3 : Inhibition (Stroop, inhibition / alternance)</x:v>
      </x:c>
    </x:row>
    <x:row r="59" ht="18" customHeight="1">
      <x:c r="A59" s="377">
        <x:v>73</x:v>
      </x:c>
      <x:c r="B59" s="357" t="str">
        <x:f>"Inhibition + alternance / flexibilité cognitive"</x:f>
        <x:v>Inhibition + alternance / flexibilité cognitive</x:v>
      </x:c>
      <x:c r="C59" s="378" t="str" cm="1">
        <x:f t="array" ref="C59">_xlfn.LET(_xlpm.x,LOWER(INDEX('Tableau de scores'!$J:$J,$A59)),IF(OR(_xlpm.x="",_xlpm.x="mesure descriptive"),"",IF(_xlpm.x="extrêmement faible","■","□")))</x:f>
        <x:v>□</x:v>
      </x:c>
      <x:c r="D59" s="378" t="str" cm="1">
        <x:f t="array" ref="D59">_xlfn.LET(_xlpm.x,LOWER(INDEX('Tableau de scores'!$J:$J,$A59)),IF(OR(_xlpm.x="",_xlpm.x="mesure descriptive"),"",IF(_xlpm.x="limite","■","□")))</x:f>
        <x:v>□</x:v>
      </x:c>
      <x:c r="E59" s="378" t="str" cm="1">
        <x:f t="array" ref="E59">_xlfn.LET(_xlpm.x,LOWER(INDEX('Tableau de scores'!$J:$J,$A59)),IF(OR(_xlpm.x="",_xlpm.x="mesure descriptive"),"",IF(_xlpm.x="moyenne faible","■","□")))</x:f>
        <x:v>□</x:v>
      </x:c>
      <x:c r="F59" s="378" t="str" cm="1">
        <x:f t="array" ref="F59">_xlfn.LET(_xlpm.x,LOWER(INDEX('Tableau de scores'!$J:$J,$A59)),IF(OR(_xlpm.x="",_xlpm.x="mesure descriptive"),"",IF(_xlpm.x="moyenne","■","□")))</x:f>
        <x:v>□</x:v>
      </x:c>
      <x:c r="G59" s="378" t="str" cm="1">
        <x:f t="array" ref="G59">_xlfn.LET(_xlpm.x,LOWER(INDEX('Tableau de scores'!$J:$J,$A59)),IF(OR(_xlpm.x="",_xlpm.x="mesure descriptive"),"",IF(_xlpm.x="moyenne élevée","■","□")))</x:f>
        <x:v>■</x:v>
      </x:c>
      <x:c r="H59" s="378" t="str" cm="1">
        <x:f t="array" ref="H59">_xlfn.LET(_xlpm.x,LOWER(INDEX('Tableau de scores'!$J:$J,$A59)),IF(OR(_xlpm.x="",_xlpm.x="mesure descriptive"),"",IF(_xlpm.x="supérieur","■","□")))</x:f>
        <x:v>□</x:v>
      </x:c>
      <x:c r="I59" s="378" t="str" cm="1">
        <x:f t="array" ref="I59">_xlfn.LET(_xlpm.x,LOWER(INDEX('Tableau de scores'!$J:$J,$A59)),IF(OR(_xlpm.x="",_xlpm.x="mesure descriptive"),"",IF(_xlpm.x="très supérieur","■","□")))</x:f>
        <x:v>□</x:v>
      </x:c>
      <x:c r="J59" s="359" t="str" cm="1">
        <x:f t="array" ref="J59">SUBSTITUTE(INDEX('Tableau de scores'!$C:$C,$A59),"— ","")</x:f>
        <x:v>Condition 4 : Inhibition / alternance (Stroop, inhibition / alternance)</x:v>
      </x:c>
    </x:row>
    <x:row r="60" ht="18" customHeight="1">
      <x:c r="A60" s="377">
        <x:v>74</x:v>
      </x:c>
      <x:c r="B60" s="357" t="str">
        <x:f>"Précision / monitoring inhibition"</x:f>
        <x:v>Précision / monitoring inhibition</x:v>
      </x:c>
      <x:c r="C60" s="378" t="str" cm="1">
        <x:f t="array" ref="C60">_xlfn.LET(_xlpm.x,LOWER(INDEX('Tableau de scores'!$J:$J,$A60)),IF(OR(_xlpm.x="",_xlpm.x="mesure descriptive"),"",IF(_xlpm.x="extrêmement faible","■","□")))</x:f>
        <x:v>□</x:v>
      </x:c>
      <x:c r="D60" s="378" t="str" cm="1">
        <x:f t="array" ref="D60">_xlfn.LET(_xlpm.x,LOWER(INDEX('Tableau de scores'!$J:$J,$A60)),IF(OR(_xlpm.x="",_xlpm.x="mesure descriptive"),"",IF(_xlpm.x="limite","■","□")))</x:f>
        <x:v>□</x:v>
      </x:c>
      <x:c r="E60" s="378" t="str" cm="1">
        <x:f t="array" ref="E60">_xlfn.LET(_xlpm.x,LOWER(INDEX('Tableau de scores'!$J:$J,$A60)),IF(OR(_xlpm.x="",_xlpm.x="mesure descriptive"),"",IF(_xlpm.x="moyenne faible","■","□")))</x:f>
        <x:v>□</x:v>
      </x:c>
      <x:c r="F60" s="378" t="str" cm="1">
        <x:f t="array" ref="F60">_xlfn.LET(_xlpm.x,LOWER(INDEX('Tableau de scores'!$J:$J,$A60)),IF(OR(_xlpm.x="",_xlpm.x="mesure descriptive"),"",IF(_xlpm.x="moyenne","■","□")))</x:f>
        <x:v>■</x:v>
      </x:c>
      <x:c r="G60" s="378" t="str" cm="1">
        <x:f t="array" ref="G60">_xlfn.LET(_xlpm.x,LOWER(INDEX('Tableau de scores'!$J:$J,$A60)),IF(OR(_xlpm.x="",_xlpm.x="mesure descriptive"),"",IF(_xlpm.x="moyenne élevée","■","□")))</x:f>
        <x:v>□</x:v>
      </x:c>
      <x:c r="H60" s="378" t="str" cm="1">
        <x:f t="array" ref="H60">_xlfn.LET(_xlpm.x,LOWER(INDEX('Tableau de scores'!$J:$J,$A60)),IF(OR(_xlpm.x="",_xlpm.x="mesure descriptive"),"",IF(_xlpm.x="supérieur","■","□")))</x:f>
        <x:v>□</x:v>
      </x:c>
      <x:c r="I60" s="378" t="str" cm="1">
        <x:f t="array" ref="I60">_xlfn.LET(_xlpm.x,LOWER(INDEX('Tableau de scores'!$J:$J,$A60)),IF(OR(_xlpm.x="",_xlpm.x="mesure descriptive"),"",IF(_xlpm.x="très supérieur","■","□")))</x:f>
        <x:v>□</x:v>
      </x:c>
      <x:c r="J60" s="359" t="str" cm="1">
        <x:f t="array" ref="J60">SUBSTITUTE(INDEX('Tableau de scores'!$C:$C,$A60),"— ","")</x:f>
        <x:v>Erreurs condition 3 (Stroop, inhibition / alternance)</x:v>
      </x:c>
    </x:row>
    <x:row r="61" ht="18" customHeight="1">
      <x:c r="A61" s="377">
        <x:v>75</x:v>
      </x:c>
      <x:c r="B61" s="357" t="str">
        <x:f>"Précision / monitoring alternance"</x:f>
        <x:v>Précision / monitoring alternance</x:v>
      </x:c>
      <x:c r="C61" s="378" t="str" cm="1">
        <x:f t="array" ref="C61">_xlfn.LET(_xlpm.x,LOWER(INDEX('Tableau de scores'!$J:$J,$A61)),IF(OR(_xlpm.x="",_xlpm.x="mesure descriptive"),"",IF(_xlpm.x="extrêmement faible","■","□")))</x:f>
        <x:v>□</x:v>
      </x:c>
      <x:c r="D61" s="378" t="str" cm="1">
        <x:f t="array" ref="D61">_xlfn.LET(_xlpm.x,LOWER(INDEX('Tableau de scores'!$J:$J,$A61)),IF(OR(_xlpm.x="",_xlpm.x="mesure descriptive"),"",IF(_xlpm.x="limite","■","□")))</x:f>
        <x:v>□</x:v>
      </x:c>
      <x:c r="E61" s="378" t="str" cm="1">
        <x:f t="array" ref="E61">_xlfn.LET(_xlpm.x,LOWER(INDEX('Tableau de scores'!$J:$J,$A61)),IF(OR(_xlpm.x="",_xlpm.x="mesure descriptive"),"",IF(_xlpm.x="moyenne faible","■","□")))</x:f>
        <x:v>□</x:v>
      </x:c>
      <x:c r="F61" s="378" t="str" cm="1">
        <x:f t="array" ref="F61">_xlfn.LET(_xlpm.x,LOWER(INDEX('Tableau de scores'!$J:$J,$A61)),IF(OR(_xlpm.x="",_xlpm.x="mesure descriptive"),"",IF(_xlpm.x="moyenne","■","□")))</x:f>
        <x:v>■</x:v>
      </x:c>
      <x:c r="G61" s="378" t="str" cm="1">
        <x:f t="array" ref="G61">_xlfn.LET(_xlpm.x,LOWER(INDEX('Tableau de scores'!$J:$J,$A61)),IF(OR(_xlpm.x="",_xlpm.x="mesure descriptive"),"",IF(_xlpm.x="moyenne élevée","■","□")))</x:f>
        <x:v>□</x:v>
      </x:c>
      <x:c r="H61" s="378" t="str" cm="1">
        <x:f t="array" ref="H61">_xlfn.LET(_xlpm.x,LOWER(INDEX('Tableau de scores'!$J:$J,$A61)),IF(OR(_xlpm.x="",_xlpm.x="mesure descriptive"),"",IF(_xlpm.x="supérieur","■","□")))</x:f>
        <x:v>□</x:v>
      </x:c>
      <x:c r="I61" s="378" t="str" cm="1">
        <x:f t="array" ref="I61">_xlfn.LET(_xlpm.x,LOWER(INDEX('Tableau de scores'!$J:$J,$A61)),IF(OR(_xlpm.x="",_xlpm.x="mesure descriptive"),"",IF(_xlpm.x="très supérieur","■","□")))</x:f>
        <x:v>□</x:v>
      </x:c>
      <x:c r="J61" s="359" t="str" cm="1">
        <x:f t="array" ref="J61">SUBSTITUTE(INDEX('Tableau de scores'!$C:$C,$A61),"— ","")</x:f>
        <x:v>Erreurs condition 4 (Stroop, inhibition / alternance)</x:v>
      </x:c>
    </x:row>
    <x:row r="62" ht="18" customHeight="1">
      <x:c r="A62" s="377">
        <x:v>83</x:v>
      </x:c>
      <x:c r="B62" s="357" t="str">
        <x:f>_xlfn.LET(_xlpm.x,INDEX('Tableau de scores'!$D:$D,83),IF(_xlpm.x="","",UPPER(LEFT(_xlpm.x,1))&amp;MID(_xlpm.x,2,999)))</x:f>
        <x:v>Efficience de planification spatiale</x:v>
      </x:c>
      <x:c r="C62" s="378" t="str" cm="1">
        <x:f t="array" ref="C62">_xlfn.LET(_xlpm.x,LOWER(INDEX('Tableau de scores'!$J:$J,$A62)),IF(OR(_xlpm.x="",_xlpm.x="mesure descriptive"),"",IF(_xlpm.x="extrêmement faible","■","□")))</x:f>
        <x:v>□</x:v>
      </x:c>
      <x:c r="D62" s="378" t="str" cm="1">
        <x:f t="array" ref="D62">_xlfn.LET(_xlpm.x,LOWER(INDEX('Tableau de scores'!$J:$J,$A62)),IF(OR(_xlpm.x="",_xlpm.x="mesure descriptive"),"",IF(_xlpm.x="limite","■","□")))</x:f>
        <x:v>□</x:v>
      </x:c>
      <x:c r="E62" s="378" t="str" cm="1">
        <x:f t="array" ref="E62">_xlfn.LET(_xlpm.x,LOWER(INDEX('Tableau de scores'!$J:$J,$A62)),IF(OR(_xlpm.x="",_xlpm.x="mesure descriptive"),"",IF(_xlpm.x="moyenne faible","■","□")))</x:f>
        <x:v>□</x:v>
      </x:c>
      <x:c r="F62" s="378" t="str" cm="1">
        <x:f t="array" ref="F62">_xlfn.LET(_xlpm.x,LOWER(INDEX('Tableau de scores'!$J:$J,$A62)),IF(OR(_xlpm.x="",_xlpm.x="mesure descriptive"),"",IF(_xlpm.x="moyenne","■","□")))</x:f>
        <x:v>■</x:v>
      </x:c>
      <x:c r="G62" s="378" t="str" cm="1">
        <x:f t="array" ref="G62">_xlfn.LET(_xlpm.x,LOWER(INDEX('Tableau de scores'!$J:$J,$A62)),IF(OR(_xlpm.x="",_xlpm.x="mesure descriptive"),"",IF(_xlpm.x="moyenne élevée","■","□")))</x:f>
        <x:v>□</x:v>
      </x:c>
      <x:c r="H62" s="378" t="str" cm="1">
        <x:f t="array" ref="H62">_xlfn.LET(_xlpm.x,LOWER(INDEX('Tableau de scores'!$J:$J,$A62)),IF(OR(_xlpm.x="",_xlpm.x="mesure descriptive"),"",IF(_xlpm.x="supérieur","■","□")))</x:f>
        <x:v>□</x:v>
      </x:c>
      <x:c r="I62" s="378" t="str" cm="1">
        <x:f t="array" ref="I62">_xlfn.LET(_xlpm.x,LOWER(INDEX('Tableau de scores'!$J:$J,$A62)),IF(OR(_xlpm.x="",_xlpm.x="mesure descriptive"),"",IF(_xlpm.x="très supérieur","■","□")))</x:f>
        <x:v>□</x:v>
      </x:c>
      <x:c r="J62" s="359" t="str" cm="1">
        <x:f t="array" ref="J62">SUBSTITUTE(INDEX('Tableau de scores'!$C:$C,$A62),"— ","")</x:f>
        <x:v>Mouvements (Tour de Londres)</x:v>
      </x:c>
    </x:row>
    <x:row r="63" ht="18" customHeight="1">
      <x:c r="A63" s="377">
        <x:v>84</x:v>
      </x:c>
      <x:c r="B63" s="357" t="str">
        <x:f>_xlfn.LET(_xlpm.x,INDEX('Tableau de scores'!$D:$D,84),IF(_xlpm.x="","",UPPER(LEFT(_xlpm.x,1))&amp;MID(_xlpm.x,2,999)))</x:f>
        <x:v>Planification / résolution de problèmes</x:v>
      </x:c>
      <x:c r="C63" s="378" t="str" cm="1">
        <x:f t="array" ref="C63">_xlfn.LET(_xlpm.x,LOWER(INDEX('Tableau de scores'!$J:$J,$A63)),IF(OR(_xlpm.x="",_xlpm.x="mesure descriptive"),"",IF(_xlpm.x="extrêmement faible","■","□")))</x:f>
        <x:v>□</x:v>
      </x:c>
      <x:c r="D63" s="378" t="str" cm="1">
        <x:f t="array" ref="D63">_xlfn.LET(_xlpm.x,LOWER(INDEX('Tableau de scores'!$J:$J,$A63)),IF(OR(_xlpm.x="",_xlpm.x="mesure descriptive"),"",IF(_xlpm.x="limite","■","□")))</x:f>
        <x:v>□</x:v>
      </x:c>
      <x:c r="E63" s="378" t="str" cm="1">
        <x:f t="array" ref="E63">_xlfn.LET(_xlpm.x,LOWER(INDEX('Tableau de scores'!$J:$J,$A63)),IF(OR(_xlpm.x="",_xlpm.x="mesure descriptive"),"",IF(_xlpm.x="moyenne faible","■","□")))</x:f>
        <x:v>□</x:v>
      </x:c>
      <x:c r="F63" s="378" t="str" cm="1">
        <x:f t="array" ref="F63">_xlfn.LET(_xlpm.x,LOWER(INDEX('Tableau de scores'!$J:$J,$A63)),IF(OR(_xlpm.x="",_xlpm.x="mesure descriptive"),"",IF(_xlpm.x="moyenne","■","□")))</x:f>
        <x:v>■</x:v>
      </x:c>
      <x:c r="G63" s="378" t="str" cm="1">
        <x:f t="array" ref="G63">_xlfn.LET(_xlpm.x,LOWER(INDEX('Tableau de scores'!$J:$J,$A63)),IF(OR(_xlpm.x="",_xlpm.x="mesure descriptive"),"",IF(_xlpm.x="moyenne élevée","■","□")))</x:f>
        <x:v>□</x:v>
      </x:c>
      <x:c r="H63" s="378" t="str" cm="1">
        <x:f t="array" ref="H63">_xlfn.LET(_xlpm.x,LOWER(INDEX('Tableau de scores'!$J:$J,$A63)),IF(OR(_xlpm.x="",_xlpm.x="mesure descriptive"),"",IF(_xlpm.x="supérieur","■","□")))</x:f>
        <x:v>□</x:v>
      </x:c>
      <x:c r="I63" s="378" t="str" cm="1">
        <x:f t="array" ref="I63">_xlfn.LET(_xlpm.x,LOWER(INDEX('Tableau de scores'!$J:$J,$A63)),IF(OR(_xlpm.x="",_xlpm.x="mesure descriptive"),"",IF(_xlpm.x="très supérieur","■","□")))</x:f>
        <x:v>□</x:v>
      </x:c>
      <x:c r="J63" s="359" t="str" cm="1">
        <x:f t="array" ref="J63">SUBSTITUTE(INDEX('Tableau de scores'!$C:$C,$A63),"— ","")</x:f>
        <x:v>Scores corrects (Tour de Londres)</x:v>
      </x:c>
    </x:row>
    <x:row r="64" ht="18" customHeight="1">
      <x:c r="A64" s="377">
        <x:v>85</x:v>
      </x:c>
      <x:c r="B64" s="357" t="str">
        <x:f>_xlfn.LET(_xlpm.x,INDEX('Tableau de scores'!$D:$D,85),IF(_xlpm.x="","",UPPER(LEFT(_xlpm.x,1))&amp;MID(_xlpm.x,2,999)))</x:f>
        <x:v>Temps de préplanification</x:v>
      </x:c>
      <x:c r="C64" s="378" t="str" cm="1">
        <x:f t="array" ref="C64">_xlfn.LET(_xlpm.x,LOWER(INDEX('Tableau de scores'!$J:$J,$A64)),IF(OR(_xlpm.x="",_xlpm.x="mesure descriptive"),"",IF(_xlpm.x="extrêmement faible","■","□")))</x:f>
        <x:v>□</x:v>
      </x:c>
      <x:c r="D64" s="378" t="str" cm="1">
        <x:f t="array" ref="D64">_xlfn.LET(_xlpm.x,LOWER(INDEX('Tableau de scores'!$J:$J,$A64)),IF(OR(_xlpm.x="",_xlpm.x="mesure descriptive"),"",IF(_xlpm.x="limite","■","□")))</x:f>
        <x:v>□</x:v>
      </x:c>
      <x:c r="E64" s="378" t="str" cm="1">
        <x:f t="array" ref="E64">_xlfn.LET(_xlpm.x,LOWER(INDEX('Tableau de scores'!$J:$J,$A64)),IF(OR(_xlpm.x="",_xlpm.x="mesure descriptive"),"",IF(_xlpm.x="moyenne faible","■","□")))</x:f>
        <x:v>□</x:v>
      </x:c>
      <x:c r="F64" s="378" t="str" cm="1">
        <x:f t="array" ref="F64">_xlfn.LET(_xlpm.x,LOWER(INDEX('Tableau de scores'!$J:$J,$A64)),IF(OR(_xlpm.x="",_xlpm.x="mesure descriptive"),"",IF(_xlpm.x="moyenne","■","□")))</x:f>
        <x:v>□</x:v>
      </x:c>
      <x:c r="G64" s="378" t="str" cm="1">
        <x:f t="array" ref="G64">_xlfn.LET(_xlpm.x,LOWER(INDEX('Tableau de scores'!$J:$J,$A64)),IF(OR(_xlpm.x="",_xlpm.x="mesure descriptive"),"",IF(_xlpm.x="moyenne élevée","■","□")))</x:f>
        <x:v>□</x:v>
      </x:c>
      <x:c r="H64" s="378" t="str" cm="1">
        <x:f t="array" ref="H64">_xlfn.LET(_xlpm.x,LOWER(INDEX('Tableau de scores'!$J:$J,$A64)),IF(OR(_xlpm.x="",_xlpm.x="mesure descriptive"),"",IF(_xlpm.x="supérieur","■","□")))</x:f>
        <x:v>□</x:v>
      </x:c>
      <x:c r="I64" s="378" t="str" cm="1">
        <x:f t="array" ref="I64">_xlfn.LET(_xlpm.x,LOWER(INDEX('Tableau de scores'!$J:$J,$A64)),IF(OR(_xlpm.x="",_xlpm.x="mesure descriptive"),"",IF(_xlpm.x="très supérieur","■","□")))</x:f>
        <x:v>■</x:v>
      </x:c>
      <x:c r="J64" s="359" t="str" cm="1">
        <x:f t="array" ref="J64">SUBSTITUTE(INDEX('Tableau de scores'!$C:$C,$A64),"— ","")</x:f>
        <x:v>Temps d'initiation (Tour de Londres)</x:v>
      </x:c>
    </x:row>
    <x:row r="65" ht="18" customHeight="1">
      <x:c r="A65" s="377">
        <x:v>86</x:v>
      </x:c>
      <x:c r="B65" s="357" t="str">
        <x:f>_xlfn.LET(_xlpm.x,INDEX('Tableau de scores'!$D:$D,86),IF(_xlpm.x="","",UPPER(LEFT(_xlpm.x,1))&amp;MID(_xlpm.x,2,999)))</x:f>
        <x:v>Efficience d’exécution</x:v>
      </x:c>
      <x:c r="C65" s="378" t="str" cm="1">
        <x:f t="array" ref="C65">_xlfn.LET(_xlpm.x,LOWER(INDEX('Tableau de scores'!$J:$J,$A65)),IF(OR(_xlpm.x="",_xlpm.x="mesure descriptive"),"",IF(_xlpm.x="extrêmement faible","■","□")))</x:f>
        <x:v>□</x:v>
      </x:c>
      <x:c r="D65" s="378" t="str" cm="1">
        <x:f t="array" ref="D65">_xlfn.LET(_xlpm.x,LOWER(INDEX('Tableau de scores'!$J:$J,$A65)),IF(OR(_xlpm.x="",_xlpm.x="mesure descriptive"),"",IF(_xlpm.x="limite","■","□")))</x:f>
        <x:v>□</x:v>
      </x:c>
      <x:c r="E65" s="378" t="str" cm="1">
        <x:f t="array" ref="E65">_xlfn.LET(_xlpm.x,LOWER(INDEX('Tableau de scores'!$J:$J,$A65)),IF(OR(_xlpm.x="",_xlpm.x="mesure descriptive"),"",IF(_xlpm.x="moyenne faible","■","□")))</x:f>
        <x:v>□</x:v>
      </x:c>
      <x:c r="F65" s="378" t="str" cm="1">
        <x:f t="array" ref="F65">_xlfn.LET(_xlpm.x,LOWER(INDEX('Tableau de scores'!$J:$J,$A65)),IF(OR(_xlpm.x="",_xlpm.x="mesure descriptive"),"",IF(_xlpm.x="moyenne","■","□")))</x:f>
        <x:v>■</x:v>
      </x:c>
      <x:c r="G65" s="378" t="str" cm="1">
        <x:f t="array" ref="G65">_xlfn.LET(_xlpm.x,LOWER(INDEX('Tableau de scores'!$J:$J,$A65)),IF(OR(_xlpm.x="",_xlpm.x="mesure descriptive"),"",IF(_xlpm.x="moyenne élevée","■","□")))</x:f>
        <x:v>□</x:v>
      </x:c>
      <x:c r="H65" s="378" t="str" cm="1">
        <x:f t="array" ref="H65">_xlfn.LET(_xlpm.x,LOWER(INDEX('Tableau de scores'!$J:$J,$A65)),IF(OR(_xlpm.x="",_xlpm.x="mesure descriptive"),"",IF(_xlpm.x="supérieur","■","□")))</x:f>
        <x:v>□</x:v>
      </x:c>
      <x:c r="I65" s="378" t="str" cm="1">
        <x:f t="array" ref="I65">_xlfn.LET(_xlpm.x,LOWER(INDEX('Tableau de scores'!$J:$J,$A65)),IF(OR(_xlpm.x="",_xlpm.x="mesure descriptive"),"",IF(_xlpm.x="très supérieur","■","□")))</x:f>
        <x:v>□</x:v>
      </x:c>
      <x:c r="J65" s="359" t="str" cm="1">
        <x:f t="array" ref="J65">SUBSTITUTE(INDEX('Tableau de scores'!$C:$C,$A65),"— ","")</x:f>
        <x:v>Temps d'exécution (Tour de Londres)</x:v>
      </x:c>
    </x:row>
    <x:row r="66" ht="18" customHeight="1">
      <x:c r="A66" s="377">
        <x:v>87</x:v>
      </x:c>
      <x:c r="B66" s="357" t="str">
        <x:f>"Efficience globale de planification"</x:f>
        <x:v>Efficience globale de planification</x:v>
      </x:c>
      <x:c r="C66" s="378" t="str" cm="1">
        <x:f t="array" ref="C66">_xlfn.LET(_xlpm.x,LOWER(INDEX('Tableau de scores'!$J:$J,$A66)),IF(OR(_xlpm.x="",_xlpm.x="mesure descriptive"),"",IF(_xlpm.x="extrêmement faible","■","□")))</x:f>
        <x:v>□</x:v>
      </x:c>
      <x:c r="D66" s="378" t="str" cm="1">
        <x:f t="array" ref="D66">_xlfn.LET(_xlpm.x,LOWER(INDEX('Tableau de scores'!$J:$J,$A66)),IF(OR(_xlpm.x="",_xlpm.x="mesure descriptive"),"",IF(_xlpm.x="limite","■","□")))</x:f>
        <x:v>■</x:v>
      </x:c>
      <x:c r="E66" s="378" t="str" cm="1">
        <x:f t="array" ref="E66">_xlfn.LET(_xlpm.x,LOWER(INDEX('Tableau de scores'!$J:$J,$A66)),IF(OR(_xlpm.x="",_xlpm.x="mesure descriptive"),"",IF(_xlpm.x="moyenne faible","■","□")))</x:f>
        <x:v>□</x:v>
      </x:c>
      <x:c r="F66" s="378" t="str" cm="1">
        <x:f t="array" ref="F66">_xlfn.LET(_xlpm.x,LOWER(INDEX('Tableau de scores'!$J:$J,$A66)),IF(OR(_xlpm.x="",_xlpm.x="mesure descriptive"),"",IF(_xlpm.x="moyenne","■","□")))</x:f>
        <x:v>□</x:v>
      </x:c>
      <x:c r="G66" s="378" t="str" cm="1">
        <x:f t="array" ref="G66">_xlfn.LET(_xlpm.x,LOWER(INDEX('Tableau de scores'!$J:$J,$A66)),IF(OR(_xlpm.x="",_xlpm.x="mesure descriptive"),"",IF(_xlpm.x="moyenne élevée","■","□")))</x:f>
        <x:v>□</x:v>
      </x:c>
      <x:c r="H66" s="378" t="str" cm="1">
        <x:f t="array" ref="H66">_xlfn.LET(_xlpm.x,LOWER(INDEX('Tableau de scores'!$J:$J,$A66)),IF(OR(_xlpm.x="",_xlpm.x="mesure descriptive"),"",IF(_xlpm.x="supérieur","■","□")))</x:f>
        <x:v>□</x:v>
      </x:c>
      <x:c r="I66" s="378" t="str" cm="1">
        <x:f t="array" ref="I66">_xlfn.LET(_xlpm.x,LOWER(INDEX('Tableau de scores'!$J:$J,$A66)),IF(OR(_xlpm.x="",_xlpm.x="mesure descriptive"),"",IF(_xlpm.x="très supérieur","■","□")))</x:f>
        <x:v>□</x:v>
      </x:c>
      <x:c r="J66" s="359" t="str" cm="1">
        <x:f t="array" ref="J66">SUBSTITUTE(INDEX('Tableau de scores'!$C:$C,$A66),"— ","")</x:f>
        <x:v>Temps total (Tour de Londres)</x:v>
      </x:c>
    </x:row>
    <x:row r="67" ht="18" customHeight="1">
      <x:c r="A67" s="377">
        <x:v>88</x:v>
      </x:c>
      <x:c r="B67" s="357" t="str">
        <x:f>_xlfn.LET(_xlpm.x,INDEX('Tableau de scores'!$D:$D,88),IF(_xlpm.x="","",UPPER(LEFT(_xlpm.x,1))&amp;MID(_xlpm.x,2,999)))</x:f>
        <x:v>Respect de la contrainte temporelle / monitoring</x:v>
      </x:c>
      <x:c r="C67" s="378" t="str" cm="1">
        <x:f t="array" ref="C67">_xlfn.LET(_xlpm.x,LOWER(INDEX('Tableau de scores'!$J:$J,$A67)),IF(OR(_xlpm.x="",_xlpm.x="mesure descriptive"),"",IF(_xlpm.x="extrêmement faible","■","□")))</x:f>
        <x:v>□</x:v>
      </x:c>
      <x:c r="D67" s="378" t="str" cm="1">
        <x:f t="array" ref="D67">_xlfn.LET(_xlpm.x,LOWER(INDEX('Tableau de scores'!$J:$J,$A67)),IF(OR(_xlpm.x="",_xlpm.x="mesure descriptive"),"",IF(_xlpm.x="limite","■","□")))</x:f>
        <x:v>■</x:v>
      </x:c>
      <x:c r="E67" s="378" t="str" cm="1">
        <x:f t="array" ref="E67">_xlfn.LET(_xlpm.x,LOWER(INDEX('Tableau de scores'!$J:$J,$A67)),IF(OR(_xlpm.x="",_xlpm.x="mesure descriptive"),"",IF(_xlpm.x="moyenne faible","■","□")))</x:f>
        <x:v>□</x:v>
      </x:c>
      <x:c r="F67" s="378" t="str" cm="1">
        <x:f t="array" ref="F67">_xlfn.LET(_xlpm.x,LOWER(INDEX('Tableau de scores'!$J:$J,$A67)),IF(OR(_xlpm.x="",_xlpm.x="mesure descriptive"),"",IF(_xlpm.x="moyenne","■","□")))</x:f>
        <x:v>□</x:v>
      </x:c>
      <x:c r="G67" s="378" t="str" cm="1">
        <x:f t="array" ref="G67">_xlfn.LET(_xlpm.x,LOWER(INDEX('Tableau de scores'!$J:$J,$A67)),IF(OR(_xlpm.x="",_xlpm.x="mesure descriptive"),"",IF(_xlpm.x="moyenne élevée","■","□")))</x:f>
        <x:v>□</x:v>
      </x:c>
      <x:c r="H67" s="378" t="str" cm="1">
        <x:f t="array" ref="H67">_xlfn.LET(_xlpm.x,LOWER(INDEX('Tableau de scores'!$J:$J,$A67)),IF(OR(_xlpm.x="",_xlpm.x="mesure descriptive"),"",IF(_xlpm.x="supérieur","■","□")))</x:f>
        <x:v>□</x:v>
      </x:c>
      <x:c r="I67" s="378" t="str" cm="1">
        <x:f t="array" ref="I67">_xlfn.LET(_xlpm.x,LOWER(INDEX('Tableau de scores'!$J:$J,$A67)),IF(OR(_xlpm.x="",_xlpm.x="mesure descriptive"),"",IF(_xlpm.x="très supérieur","■","□")))</x:f>
        <x:v>□</x:v>
      </x:c>
      <x:c r="J67" s="359" t="str" cm="1">
        <x:f t="array" ref="J67">SUBSTITUTE(INDEX('Tableau de scores'!$C:$C,$A67),"— ","")</x:f>
        <x:v>Bris du temps (Tour de Londres)</x:v>
      </x:c>
    </x:row>
    <x:row r="68" ht="18" customHeight="1">
      <x:c r="A68" s="377">
        <x:v>89</x:v>
      </x:c>
      <x:c r="B68" s="357" t="str">
        <x:f>_xlfn.LET(_xlpm.x,INDEX('Tableau de scores'!$D:$D,89),IF(_xlpm.x="","",UPPER(LEFT(_xlpm.x,1))&amp;MID(_xlpm.x,2,999)))</x:f>
        <x:v>Respect des règles / inhibition</x:v>
      </x:c>
      <x:c r="C68" s="378" t="str" cm="1">
        <x:f t="array" ref="C68">_xlfn.LET(_xlpm.x,LOWER(INDEX('Tableau de scores'!$J:$J,$A68)),IF(OR(_xlpm.x="",_xlpm.x="mesure descriptive"),"",IF(_xlpm.x="extrêmement faible","■","□")))</x:f>
        <x:v>□</x:v>
      </x:c>
      <x:c r="D68" s="378" t="str" cm="1">
        <x:f t="array" ref="D68">_xlfn.LET(_xlpm.x,LOWER(INDEX('Tableau de scores'!$J:$J,$A68)),IF(OR(_xlpm.x="",_xlpm.x="mesure descriptive"),"",IF(_xlpm.x="limite","■","□")))</x:f>
        <x:v>□</x:v>
      </x:c>
      <x:c r="E68" s="378" t="str" cm="1">
        <x:f t="array" ref="E68">_xlfn.LET(_xlpm.x,LOWER(INDEX('Tableau de scores'!$J:$J,$A68)),IF(OR(_xlpm.x="",_xlpm.x="mesure descriptive"),"",IF(_xlpm.x="moyenne faible","■","□")))</x:f>
        <x:v>□</x:v>
      </x:c>
      <x:c r="F68" s="378" t="str" cm="1">
        <x:f t="array" ref="F68">_xlfn.LET(_xlpm.x,LOWER(INDEX('Tableau de scores'!$J:$J,$A68)),IF(OR(_xlpm.x="",_xlpm.x="mesure descriptive"),"",IF(_xlpm.x="moyenne","■","□")))</x:f>
        <x:v>■</x:v>
      </x:c>
      <x:c r="G68" s="378" t="str" cm="1">
        <x:f t="array" ref="G68">_xlfn.LET(_xlpm.x,LOWER(INDEX('Tableau de scores'!$J:$J,$A68)),IF(OR(_xlpm.x="",_xlpm.x="mesure descriptive"),"",IF(_xlpm.x="moyenne élevée","■","□")))</x:f>
        <x:v>□</x:v>
      </x:c>
      <x:c r="H68" s="378" t="str" cm="1">
        <x:f t="array" ref="H68">_xlfn.LET(_xlpm.x,LOWER(INDEX('Tableau de scores'!$J:$J,$A68)),IF(OR(_xlpm.x="",_xlpm.x="mesure descriptive"),"",IF(_xlpm.x="supérieur","■","□")))</x:f>
        <x:v>□</x:v>
      </x:c>
      <x:c r="I68" s="378" t="str" cm="1">
        <x:f t="array" ref="I68">_xlfn.LET(_xlpm.x,LOWER(INDEX('Tableau de scores'!$J:$J,$A68)),IF(OR(_xlpm.x="",_xlpm.x="mesure descriptive"),"",IF(_xlpm.x="très supérieur","■","□")))</x:f>
        <x:v>□</x:v>
      </x:c>
      <x:c r="J68" s="359" t="str" cm="1">
        <x:f t="array" ref="J68">SUBSTITUTE(INDEX('Tableau de scores'!$C:$C,$A68),"— ","")</x:f>
        <x:v>Bris de règle (Tour de Londres)</x:v>
      </x:c>
    </x:row>
    <x:row r="69" ht="18" customHeight="1">
      <x:c r="A69" s="377"/>
      <x:c r="B69" s="363" t="s">
        <x:v>483</x:v>
      </x:c>
      <x:c r="C69" s="381"/>
      <x:c r="D69" s="381"/>
      <x:c r="E69" s="381"/>
      <x:c r="F69" s="381"/>
      <x:c r="G69" s="381"/>
      <x:c r="H69" s="381"/>
      <x:c r="I69" s="381"/>
      <x:c r="J69" s="371"/>
    </x:row>
    <x:row r="70" ht="18" customHeight="1">
      <x:c r="A70" s="377">
        <x:v>92</x:v>
      </x:c>
      <x:c r="B70" s="357" t="str">
        <x:f>_xlfn.LET(_xlpm.x,INDEX('Tableau de scores'!$D:$D,92),IF(_xlpm.x="","",UPPER(LEFT(_xlpm.x,1))&amp;MID(_xlpm.x,2,999)))</x:f>
        <x:v>Accès phonémique</x:v>
      </x:c>
      <x:c r="C70" s="378" t="str" cm="1">
        <x:f t="array" ref="C70">_xlfn.LET(_xlpm.x,LOWER(INDEX('Tableau de scores'!$J:$J,$A70)),IF(OR(_xlpm.x="",_xlpm.x="mesure descriptive"),"",IF(_xlpm.x="extrêmement faible","■","□")))</x:f>
        <x:v>□</x:v>
      </x:c>
      <x:c r="D70" s="378" t="str" cm="1">
        <x:f t="array" ref="D70">_xlfn.LET(_xlpm.x,LOWER(INDEX('Tableau de scores'!$J:$J,$A70)),IF(OR(_xlpm.x="",_xlpm.x="mesure descriptive"),"",IF(_xlpm.x="limite","■","□")))</x:f>
        <x:v>□</x:v>
      </x:c>
      <x:c r="E70" s="378" t="str" cm="1">
        <x:f t="array" ref="E70">_xlfn.LET(_xlpm.x,LOWER(INDEX('Tableau de scores'!$J:$J,$A70)),IF(OR(_xlpm.x="",_xlpm.x="mesure descriptive"),"",IF(_xlpm.x="moyenne faible","■","□")))</x:f>
        <x:v>□</x:v>
      </x:c>
      <x:c r="F70" s="378" t="str" cm="1">
        <x:f t="array" ref="F70">_xlfn.LET(_xlpm.x,LOWER(INDEX('Tableau de scores'!$J:$J,$A70)),IF(OR(_xlpm.x="",_xlpm.x="mesure descriptive"),"",IF(_xlpm.x="moyenne","■","□")))</x:f>
        <x:v>■</x:v>
      </x:c>
      <x:c r="G70" s="378" t="str" cm="1">
        <x:f t="array" ref="G70">_xlfn.LET(_xlpm.x,LOWER(INDEX('Tableau de scores'!$J:$J,$A70)),IF(OR(_xlpm.x="",_xlpm.x="mesure descriptive"),"",IF(_xlpm.x="moyenne élevée","■","□")))</x:f>
        <x:v>□</x:v>
      </x:c>
      <x:c r="H70" s="378" t="str" cm="1">
        <x:f t="array" ref="H70">_xlfn.LET(_xlpm.x,LOWER(INDEX('Tableau de scores'!$J:$J,$A70)),IF(OR(_xlpm.x="",_xlpm.x="mesure descriptive"),"",IF(_xlpm.x="supérieur","■","□")))</x:f>
        <x:v>□</x:v>
      </x:c>
      <x:c r="I70" s="378" t="str" cm="1">
        <x:f t="array" ref="I70">_xlfn.LET(_xlpm.x,LOWER(INDEX('Tableau de scores'!$J:$J,$A70)),IF(OR(_xlpm.x="",_xlpm.x="mesure descriptive"),"",IF(_xlpm.x="très supérieur","■","□")))</x:f>
        <x:v>□</x:v>
      </x:c>
      <x:c r="J70" s="359" t="str" cm="1">
        <x:f t="array" ref="J70">SUBSTITUTE(INDEX('Tableau de scores'!$C:$C,$A70),"— ","")</x:f>
        <x:v>Condition 1 : Fluidité alphabétique (Fluidité verbale, D-KEFS)</x:v>
      </x:c>
    </x:row>
    <x:row r="71" ht="18" customHeight="1">
      <x:c r="A71" s="377">
        <x:v>93</x:v>
      </x:c>
      <x:c r="B71" s="357" t="str">
        <x:f>_xlfn.LET(_xlpm.x,INDEX('Tableau de scores'!$D:$D,93),IF(_xlpm.x="","",UPPER(LEFT(_xlpm.x,1))&amp;MID(_xlpm.x,2,999)))</x:f>
        <x:v>Accès sémantique</x:v>
      </x:c>
      <x:c r="C71" s="378" t="str" cm="1">
        <x:f t="array" ref="C71">_xlfn.LET(_xlpm.x,LOWER(INDEX('Tableau de scores'!$J:$J,$A71)),IF(OR(_xlpm.x="",_xlpm.x="mesure descriptive"),"",IF(_xlpm.x="extrêmement faible","■","□")))</x:f>
        <x:v>□</x:v>
      </x:c>
      <x:c r="D71" s="378" t="str" cm="1">
        <x:f t="array" ref="D71">_xlfn.LET(_xlpm.x,LOWER(INDEX('Tableau de scores'!$J:$J,$A71)),IF(OR(_xlpm.x="",_xlpm.x="mesure descriptive"),"",IF(_xlpm.x="limite","■","□")))</x:f>
        <x:v>□</x:v>
      </x:c>
      <x:c r="E71" s="378" t="str" cm="1">
        <x:f t="array" ref="E71">_xlfn.LET(_xlpm.x,LOWER(INDEX('Tableau de scores'!$J:$J,$A71)),IF(OR(_xlpm.x="",_xlpm.x="mesure descriptive"),"",IF(_xlpm.x="moyenne faible","■","□")))</x:f>
        <x:v>□</x:v>
      </x:c>
      <x:c r="F71" s="378" t="str" cm="1">
        <x:f t="array" ref="F71">_xlfn.LET(_xlpm.x,LOWER(INDEX('Tableau de scores'!$J:$J,$A71)),IF(OR(_xlpm.x="",_xlpm.x="mesure descriptive"),"",IF(_xlpm.x="moyenne","■","□")))</x:f>
        <x:v>□</x:v>
      </x:c>
      <x:c r="G71" s="378" t="str" cm="1">
        <x:f t="array" ref="G71">_xlfn.LET(_xlpm.x,LOWER(INDEX('Tableau de scores'!$J:$J,$A71)),IF(OR(_xlpm.x="",_xlpm.x="mesure descriptive"),"",IF(_xlpm.x="moyenne élevée","■","□")))</x:f>
        <x:v>□</x:v>
      </x:c>
      <x:c r="H71" s="378" t="str" cm="1">
        <x:f t="array" ref="H71">_xlfn.LET(_xlpm.x,LOWER(INDEX('Tableau de scores'!$J:$J,$A71)),IF(OR(_xlpm.x="",_xlpm.x="mesure descriptive"),"",IF(_xlpm.x="supérieur","■","□")))</x:f>
        <x:v>□</x:v>
      </x:c>
      <x:c r="I71" s="378" t="str" cm="1">
        <x:f t="array" ref="I71">_xlfn.LET(_xlpm.x,LOWER(INDEX('Tableau de scores'!$J:$J,$A71)),IF(OR(_xlpm.x="",_xlpm.x="mesure descriptive"),"",IF(_xlpm.x="très supérieur","■","□")))</x:f>
        <x:v>■</x:v>
      </x:c>
      <x:c r="J71" s="359" t="str" cm="1">
        <x:f t="array" ref="J71">SUBSTITUTE(INDEX('Tableau de scores'!$C:$C,$A71),"— ","")</x:f>
        <x:v>Condition 2 : Fluidité catégorielle (Fluidité verbale, D-KEFS)</x:v>
      </x:c>
    </x:row>
    <x:row r="72" ht="18" customHeight="1">
      <x:c r="A72" s="377">
        <x:v>94</x:v>
      </x:c>
      <x:c r="B72" s="357" t="str">
        <x:f>_xlfn.LET(_xlpm.x,INDEX('Tableau de scores'!$D:$D,94),IF(_xlpm.x="","",UPPER(LEFT(_xlpm.x,1))&amp;MID(_xlpm.x,2,999)))</x:f>
        <x:v>Flexibilité sémantique / alternance</x:v>
      </x:c>
      <x:c r="C72" s="378" t="str" cm="1">
        <x:f t="array" ref="C72">_xlfn.LET(_xlpm.x,LOWER(INDEX('Tableau de scores'!$J:$J,$A72)),IF(OR(_xlpm.x="",_xlpm.x="mesure descriptive"),"",IF(_xlpm.x="extrêmement faible","■","□")))</x:f>
        <x:v>□</x:v>
      </x:c>
      <x:c r="D72" s="378" t="str" cm="1">
        <x:f t="array" ref="D72">_xlfn.LET(_xlpm.x,LOWER(INDEX('Tableau de scores'!$J:$J,$A72)),IF(OR(_xlpm.x="",_xlpm.x="mesure descriptive"),"",IF(_xlpm.x="limite","■","□")))</x:f>
        <x:v>□</x:v>
      </x:c>
      <x:c r="E72" s="378" t="str" cm="1">
        <x:f t="array" ref="E72">_xlfn.LET(_xlpm.x,LOWER(INDEX('Tableau de scores'!$J:$J,$A72)),IF(OR(_xlpm.x="",_xlpm.x="mesure descriptive"),"",IF(_xlpm.x="moyenne faible","■","□")))</x:f>
        <x:v>□</x:v>
      </x:c>
      <x:c r="F72" s="378" t="str" cm="1">
        <x:f t="array" ref="F72">_xlfn.LET(_xlpm.x,LOWER(INDEX('Tableau de scores'!$J:$J,$A72)),IF(OR(_xlpm.x="",_xlpm.x="mesure descriptive"),"",IF(_xlpm.x="moyenne","■","□")))</x:f>
        <x:v>■</x:v>
      </x:c>
      <x:c r="G72" s="378" t="str" cm="1">
        <x:f t="array" ref="G72">_xlfn.LET(_xlpm.x,LOWER(INDEX('Tableau de scores'!$J:$J,$A72)),IF(OR(_xlpm.x="",_xlpm.x="mesure descriptive"),"",IF(_xlpm.x="moyenne élevée","■","□")))</x:f>
        <x:v>□</x:v>
      </x:c>
      <x:c r="H72" s="378" t="str" cm="1">
        <x:f t="array" ref="H72">_xlfn.LET(_xlpm.x,LOWER(INDEX('Tableau de scores'!$J:$J,$A72)),IF(OR(_xlpm.x="",_xlpm.x="mesure descriptive"),"",IF(_xlpm.x="supérieur","■","□")))</x:f>
        <x:v>□</x:v>
      </x:c>
      <x:c r="I72" s="378" t="str" cm="1">
        <x:f t="array" ref="I72">_xlfn.LET(_xlpm.x,LOWER(INDEX('Tableau de scores'!$J:$J,$A72)),IF(OR(_xlpm.x="",_xlpm.x="mesure descriptive"),"",IF(_xlpm.x="très supérieur","■","□")))</x:f>
        <x:v>□</x:v>
      </x:c>
      <x:c r="J72" s="359" t="str" cm="1">
        <x:f t="array" ref="J72">SUBSTITUTE(INDEX('Tableau de scores'!$C:$C,$A72),"— ","")</x:f>
        <x:v>Condition 3 : Alternance catégorielle (Fluidité verbale, D-KEFS)</x:v>
      </x:c>
    </x:row>
    <x:row r="73" ht="18" customHeight="1">
      <x:c r="A73" s="377">
        <x:v>97</x:v>
      </x:c>
      <x:c r="B73" s="357" t="str">
        <x:f>_xlfn.LET(_xlpm.x,INDEX('Tableau de scores'!$D:$D,97),IF(_xlpm.x="","",UPPER(LEFT(_xlpm.x,1))&amp;MID(_xlpm.x,2,999)))</x:f>
        <x:v>Flexibilité / exactitude d’alternance</x:v>
      </x:c>
      <x:c r="C73" s="378" t="str" cm="1">
        <x:f t="array" ref="C73">_xlfn.LET(_xlpm.x,LOWER(INDEX('Tableau de scores'!$J:$J,$A73)),IF(OR(_xlpm.x="",_xlpm.x="mesure descriptive"),"",IF(_xlpm.x="extrêmement faible","■","□")))</x:f>
        <x:v>□</x:v>
      </x:c>
      <x:c r="D73" s="378" t="str" cm="1">
        <x:f t="array" ref="D73">_xlfn.LET(_xlpm.x,LOWER(INDEX('Tableau de scores'!$J:$J,$A73)),IF(OR(_xlpm.x="",_xlpm.x="mesure descriptive"),"",IF(_xlpm.x="limite","■","□")))</x:f>
        <x:v>□</x:v>
      </x:c>
      <x:c r="E73" s="378" t="str" cm="1">
        <x:f t="array" ref="E73">_xlfn.LET(_xlpm.x,LOWER(INDEX('Tableau de scores'!$J:$J,$A73)),IF(OR(_xlpm.x="",_xlpm.x="mesure descriptive"),"",IF(_xlpm.x="moyenne faible","■","□")))</x:f>
        <x:v>□</x:v>
      </x:c>
      <x:c r="F73" s="378" t="str" cm="1">
        <x:f t="array" ref="F73">_xlfn.LET(_xlpm.x,LOWER(INDEX('Tableau de scores'!$J:$J,$A73)),IF(OR(_xlpm.x="",_xlpm.x="mesure descriptive"),"",IF(_xlpm.x="moyenne","■","□")))</x:f>
        <x:v>□</x:v>
      </x:c>
      <x:c r="G73" s="378" t="str" cm="1">
        <x:f t="array" ref="G73">_xlfn.LET(_xlpm.x,LOWER(INDEX('Tableau de scores'!$J:$J,$A73)),IF(OR(_xlpm.x="",_xlpm.x="mesure descriptive"),"",IF(_xlpm.x="moyenne élevée","■","□")))</x:f>
        <x:v>■</x:v>
      </x:c>
      <x:c r="H73" s="378" t="str" cm="1">
        <x:f t="array" ref="H73">_xlfn.LET(_xlpm.x,LOWER(INDEX('Tableau de scores'!$J:$J,$A73)),IF(OR(_xlpm.x="",_xlpm.x="mesure descriptive"),"",IF(_xlpm.x="supérieur","■","□")))</x:f>
        <x:v>□</x:v>
      </x:c>
      <x:c r="I73" s="378" t="str" cm="1">
        <x:f t="array" ref="I73">_xlfn.LET(_xlpm.x,LOWER(INDEX('Tableau de scores'!$J:$J,$A73)),IF(OR(_xlpm.x="",_xlpm.x="mesure descriptive"),"",IF(_xlpm.x="très supérieur","■","□")))</x:f>
        <x:v>□</x:v>
      </x:c>
      <x:c r="J73" s="359" t="str" cm="1">
        <x:f t="array" ref="J73">SUBSTITUTE(INDEX('Tableau de scores'!$C:$C,$A73),"— ","")</x:f>
        <x:v>Total d’alternances exactes (Fluidité verbale, D-KEFS)</x:v>
      </x:c>
    </x:row>
    <x:row r="74" ht="18" customHeight="1">
      <x:c r="A74" s="377">
        <x:v>98</x:v>
      </x:c>
      <x:c r="B74" s="357" t="str">
        <x:f>_xlfn.LET(_xlpm.x,INDEX('Tableau de scores'!$D:$D,98),IF(_xlpm.x="","",UPPER(LEFT(_xlpm.x,1))&amp;MID(_xlpm.x,2,999)))</x:f>
        <x:v>Initiation / accès lexical initial</x:v>
      </x:c>
      <x:c r="C74" s="378" t="str" cm="1">
        <x:f t="array" ref="C74">_xlfn.LET(_xlpm.x,LOWER(INDEX('Tableau de scores'!$J:$J,$A74)),IF(OR(_xlpm.x="",_xlpm.x="mesure descriptive"),"",IF(_xlpm.x="extrêmement faible","■","□")))</x:f>
        <x:v>□</x:v>
      </x:c>
      <x:c r="D74" s="378" t="str" cm="1">
        <x:f t="array" ref="D74">_xlfn.LET(_xlpm.x,LOWER(INDEX('Tableau de scores'!$J:$J,$A74)),IF(OR(_xlpm.x="",_xlpm.x="mesure descriptive"),"",IF(_xlpm.x="limite","■","□")))</x:f>
        <x:v>□</x:v>
      </x:c>
      <x:c r="E74" s="378" t="str" cm="1">
        <x:f t="array" ref="E74">_xlfn.LET(_xlpm.x,LOWER(INDEX('Tableau de scores'!$J:$J,$A74)),IF(OR(_xlpm.x="",_xlpm.x="mesure descriptive"),"",IF(_xlpm.x="moyenne faible","■","□")))</x:f>
        <x:v>□</x:v>
      </x:c>
      <x:c r="F74" s="378" t="str" cm="1">
        <x:f t="array" ref="F74">_xlfn.LET(_xlpm.x,LOWER(INDEX('Tableau de scores'!$J:$J,$A74)),IF(OR(_xlpm.x="",_xlpm.x="mesure descriptive"),"",IF(_xlpm.x="moyenne","■","□")))</x:f>
        <x:v>■</x:v>
      </x:c>
      <x:c r="G74" s="378" t="str" cm="1">
        <x:f t="array" ref="G74">_xlfn.LET(_xlpm.x,LOWER(INDEX('Tableau de scores'!$J:$J,$A74)),IF(OR(_xlpm.x="",_xlpm.x="mesure descriptive"),"",IF(_xlpm.x="moyenne élevée","■","□")))</x:f>
        <x:v>□</x:v>
      </x:c>
      <x:c r="H74" s="378" t="str" cm="1">
        <x:f t="array" ref="H74">_xlfn.LET(_xlpm.x,LOWER(INDEX('Tableau de scores'!$J:$J,$A74)),IF(OR(_xlpm.x="",_xlpm.x="mesure descriptive"),"",IF(_xlpm.x="supérieur","■","□")))</x:f>
        <x:v>□</x:v>
      </x:c>
      <x:c r="I74" s="378" t="str" cm="1">
        <x:f t="array" ref="I74">_xlfn.LET(_xlpm.x,LOWER(INDEX('Tableau de scores'!$J:$J,$A74)),IF(OR(_xlpm.x="",_xlpm.x="mesure descriptive"),"",IF(_xlpm.x="très supérieur","■","□")))</x:f>
        <x:v>□</x:v>
      </x:c>
      <x:c r="J74" s="359" t="str" cm="1">
        <x:f t="array" ref="J74">SUBSTITUTE(INDEX('Tableau de scores'!$C:$C,$A74),"— ","")</x:f>
        <x:v>Premier intervalle (1–15 s) : total correct combiné (Fluidité verbale, D-KEFS)</x:v>
      </x:c>
    </x:row>
    <x:row r="75" ht="18" customHeight="1">
      <x:c r="A75" s="377">
        <x:v>99</x:v>
      </x:c>
      <x:c r="B75" s="357" t="str">
        <x:f>"Récupération lexicale soutenue — 16–30 s"</x:f>
        <x:v>Récupération lexicale soutenue — 16–30 s</x:v>
      </x:c>
      <x:c r="C75" s="378" t="str" cm="1">
        <x:f t="array" ref="C75">_xlfn.LET(_xlpm.x,LOWER(INDEX('Tableau de scores'!$J:$J,$A75)),IF(OR(_xlpm.x="",_xlpm.x="mesure descriptive"),"",IF(_xlpm.x="extrêmement faible","■","□")))</x:f>
        <x:v>□</x:v>
      </x:c>
      <x:c r="D75" s="378" t="str" cm="1">
        <x:f t="array" ref="D75">_xlfn.LET(_xlpm.x,LOWER(INDEX('Tableau de scores'!$J:$J,$A75)),IF(OR(_xlpm.x="",_xlpm.x="mesure descriptive"),"",IF(_xlpm.x="limite","■","□")))</x:f>
        <x:v>□</x:v>
      </x:c>
      <x:c r="E75" s="378" t="str" cm="1">
        <x:f t="array" ref="E75">_xlfn.LET(_xlpm.x,LOWER(INDEX('Tableau de scores'!$J:$J,$A75)),IF(OR(_xlpm.x="",_xlpm.x="mesure descriptive"),"",IF(_xlpm.x="moyenne faible","■","□")))</x:f>
        <x:v>□</x:v>
      </x:c>
      <x:c r="F75" s="378" t="str" cm="1">
        <x:f t="array" ref="F75">_xlfn.LET(_xlpm.x,LOWER(INDEX('Tableau de scores'!$J:$J,$A75)),IF(OR(_xlpm.x="",_xlpm.x="mesure descriptive"),"",IF(_xlpm.x="moyenne","■","□")))</x:f>
        <x:v>□</x:v>
      </x:c>
      <x:c r="G75" s="378" t="str" cm="1">
        <x:f t="array" ref="G75">_xlfn.LET(_xlpm.x,LOWER(INDEX('Tableau de scores'!$J:$J,$A75)),IF(OR(_xlpm.x="",_xlpm.x="mesure descriptive"),"",IF(_xlpm.x="moyenne élevée","■","□")))</x:f>
        <x:v>□</x:v>
      </x:c>
      <x:c r="H75" s="378" t="str" cm="1">
        <x:f t="array" ref="H75">_xlfn.LET(_xlpm.x,LOWER(INDEX('Tableau de scores'!$J:$J,$A75)),IF(OR(_xlpm.x="",_xlpm.x="mesure descriptive"),"",IF(_xlpm.x="supérieur","■","□")))</x:f>
        <x:v>■</x:v>
      </x:c>
      <x:c r="I75" s="378" t="str" cm="1">
        <x:f t="array" ref="I75">_xlfn.LET(_xlpm.x,LOWER(INDEX('Tableau de scores'!$J:$J,$A75)),IF(OR(_xlpm.x="",_xlpm.x="mesure descriptive"),"",IF(_xlpm.x="très supérieur","■","□")))</x:f>
        <x:v>□</x:v>
      </x:c>
      <x:c r="J75" s="359" t="str" cm="1">
        <x:f t="array" ref="J75">SUBSTITUTE(INDEX('Tableau de scores'!$C:$C,$A75),"— ","")</x:f>
        <x:v>Deuxième intervalle (16–30 s) : total correct combiné (Fluidité verbale, D-KEFS)</x:v>
      </x:c>
    </x:row>
    <x:row r="76" ht="18" customHeight="1">
      <x:c r="A76" s="377">
        <x:v>100</x:v>
      </x:c>
      <x:c r="B76" s="357" t="str">
        <x:f>"Récupération lexicale soutenue — 31–45 s"</x:f>
        <x:v>Récupération lexicale soutenue — 31–45 s</x:v>
      </x:c>
      <x:c r="C76" s="378" t="str" cm="1">
        <x:f t="array" ref="C76">_xlfn.LET(_xlpm.x,LOWER(INDEX('Tableau de scores'!$J:$J,$A76)),IF(OR(_xlpm.x="",_xlpm.x="mesure descriptive"),"",IF(_xlpm.x="extrêmement faible","■","□")))</x:f>
        <x:v>□</x:v>
      </x:c>
      <x:c r="D76" s="378" t="str" cm="1">
        <x:f t="array" ref="D76">_xlfn.LET(_xlpm.x,LOWER(INDEX('Tableau de scores'!$J:$J,$A76)),IF(OR(_xlpm.x="",_xlpm.x="mesure descriptive"),"",IF(_xlpm.x="limite","■","□")))</x:f>
        <x:v>□</x:v>
      </x:c>
      <x:c r="E76" s="378" t="str" cm="1">
        <x:f t="array" ref="E76">_xlfn.LET(_xlpm.x,LOWER(INDEX('Tableau de scores'!$J:$J,$A76)),IF(OR(_xlpm.x="",_xlpm.x="mesure descriptive"),"",IF(_xlpm.x="moyenne faible","■","□")))</x:f>
        <x:v>□</x:v>
      </x:c>
      <x:c r="F76" s="378" t="str" cm="1">
        <x:f t="array" ref="F76">_xlfn.LET(_xlpm.x,LOWER(INDEX('Tableau de scores'!$J:$J,$A76)),IF(OR(_xlpm.x="",_xlpm.x="mesure descriptive"),"",IF(_xlpm.x="moyenne","■","□")))</x:f>
        <x:v>□</x:v>
      </x:c>
      <x:c r="G76" s="378" t="str" cm="1">
        <x:f t="array" ref="G76">_xlfn.LET(_xlpm.x,LOWER(INDEX('Tableau de scores'!$J:$J,$A76)),IF(OR(_xlpm.x="",_xlpm.x="mesure descriptive"),"",IF(_xlpm.x="moyenne élevée","■","□")))</x:f>
        <x:v>■</x:v>
      </x:c>
      <x:c r="H76" s="378" t="str" cm="1">
        <x:f t="array" ref="H76">_xlfn.LET(_xlpm.x,LOWER(INDEX('Tableau de scores'!$J:$J,$A76)),IF(OR(_xlpm.x="",_xlpm.x="mesure descriptive"),"",IF(_xlpm.x="supérieur","■","□")))</x:f>
        <x:v>□</x:v>
      </x:c>
      <x:c r="I76" s="378" t="str" cm="1">
        <x:f t="array" ref="I76">_xlfn.LET(_xlpm.x,LOWER(INDEX('Tableau de scores'!$J:$J,$A76)),IF(OR(_xlpm.x="",_xlpm.x="mesure descriptive"),"",IF(_xlpm.x="très supérieur","■","□")))</x:f>
        <x:v>□</x:v>
      </x:c>
      <x:c r="J76" s="359" t="str" cm="1">
        <x:f t="array" ref="J76">SUBSTITUTE(INDEX('Tableau de scores'!$C:$C,$A76),"— ","")</x:f>
        <x:v>Troisième intervalle (31–45 s) : total correct combiné (Fluidité verbale, D-KEFS)</x:v>
      </x:c>
    </x:row>
    <x:row r="77" ht="18" customHeight="1">
      <x:c r="A77" s="377">
        <x:v>101</x:v>
      </x:c>
      <x:c r="B77" s="357" t="str">
        <x:f>"Endurance de récupération lexicale — 46–60 s"</x:f>
        <x:v>Endurance de récupération lexicale — 46–60 s</x:v>
      </x:c>
      <x:c r="C77" s="378" t="str" cm="1">
        <x:f t="array" ref="C77">_xlfn.LET(_xlpm.x,LOWER(INDEX('Tableau de scores'!$J:$J,$A77)),IF(OR(_xlpm.x="",_xlpm.x="mesure descriptive"),"",IF(_xlpm.x="extrêmement faible","■","□")))</x:f>
        <x:v>□</x:v>
      </x:c>
      <x:c r="D77" s="378" t="str" cm="1">
        <x:f t="array" ref="D77">_xlfn.LET(_xlpm.x,LOWER(INDEX('Tableau de scores'!$J:$J,$A77)),IF(OR(_xlpm.x="",_xlpm.x="mesure descriptive"),"",IF(_xlpm.x="limite","■","□")))</x:f>
        <x:v>□</x:v>
      </x:c>
      <x:c r="E77" s="378" t="str" cm="1">
        <x:f t="array" ref="E77">_xlfn.LET(_xlpm.x,LOWER(INDEX('Tableau de scores'!$J:$J,$A77)),IF(OR(_xlpm.x="",_xlpm.x="mesure descriptive"),"",IF(_xlpm.x="moyenne faible","■","□")))</x:f>
        <x:v>□</x:v>
      </x:c>
      <x:c r="F77" s="378" t="str" cm="1">
        <x:f t="array" ref="F77">_xlfn.LET(_xlpm.x,LOWER(INDEX('Tableau de scores'!$J:$J,$A77)),IF(OR(_xlpm.x="",_xlpm.x="mesure descriptive"),"",IF(_xlpm.x="moyenne","■","□")))</x:f>
        <x:v>□</x:v>
      </x:c>
      <x:c r="G77" s="378" t="str" cm="1">
        <x:f t="array" ref="G77">_xlfn.LET(_xlpm.x,LOWER(INDEX('Tableau de scores'!$J:$J,$A77)),IF(OR(_xlpm.x="",_xlpm.x="mesure descriptive"),"",IF(_xlpm.x="moyenne élevée","■","□")))</x:f>
        <x:v>■</x:v>
      </x:c>
      <x:c r="H77" s="378" t="str" cm="1">
        <x:f t="array" ref="H77">_xlfn.LET(_xlpm.x,LOWER(INDEX('Tableau de scores'!$J:$J,$A77)),IF(OR(_xlpm.x="",_xlpm.x="mesure descriptive"),"",IF(_xlpm.x="supérieur","■","□")))</x:f>
        <x:v>□</x:v>
      </x:c>
      <x:c r="I77" s="378" t="str" cm="1">
        <x:f t="array" ref="I77">_xlfn.LET(_xlpm.x,LOWER(INDEX('Tableau de scores'!$J:$J,$A77)),IF(OR(_xlpm.x="",_xlpm.x="mesure descriptive"),"",IF(_xlpm.x="très supérieur","■","□")))</x:f>
        <x:v>□</x:v>
      </x:c>
      <x:c r="J77" s="359" t="str" cm="1">
        <x:f t="array" ref="J77">SUBSTITUTE(INDEX('Tableau de scores'!$C:$C,$A77),"— ","")</x:f>
        <x:v>Quatrième intervalle (46–60 s) : total correct combiné (Fluidité verbale, D-KEFS)</x:v>
      </x:c>
    </x:row>
    <x:row r="78" ht="18" customHeight="1">
      <x:c r="A78" s="377">
        <x:v>102</x:v>
      </x:c>
      <x:c r="B78" s="357" t="str">
        <x:f>"Maintien de consigne / monitoring verbal"</x:f>
        <x:v>Maintien de consigne / monitoring verbal</x:v>
      </x:c>
      <x:c r="C78" s="378" t="str" cm="1">
        <x:f t="array" ref="C78">_xlfn.LET(_xlpm.x,LOWER(INDEX('Tableau de scores'!$J:$J,$A78)),IF(OR(_xlpm.x="",_xlpm.x="mesure descriptive"),"",IF(_xlpm.x="extrêmement faible","■","□")))</x:f>
        <x:v>□</x:v>
      </x:c>
      <x:c r="D78" s="378" t="str" cm="1">
        <x:f t="array" ref="D78">_xlfn.LET(_xlpm.x,LOWER(INDEX('Tableau de scores'!$J:$J,$A78)),IF(OR(_xlpm.x="",_xlpm.x="mesure descriptive"),"",IF(_xlpm.x="limite","■","□")))</x:f>
        <x:v>□</x:v>
      </x:c>
      <x:c r="E78" s="378" t="str" cm="1">
        <x:f t="array" ref="E78">_xlfn.LET(_xlpm.x,LOWER(INDEX('Tableau de scores'!$J:$J,$A78)),IF(OR(_xlpm.x="",_xlpm.x="mesure descriptive"),"",IF(_xlpm.x="moyenne faible","■","□")))</x:f>
        <x:v>□</x:v>
      </x:c>
      <x:c r="F78" s="378" t="str" cm="1">
        <x:f t="array" ref="F78">_xlfn.LET(_xlpm.x,LOWER(INDEX('Tableau de scores'!$J:$J,$A78)),IF(OR(_xlpm.x="",_xlpm.x="mesure descriptive"),"",IF(_xlpm.x="moyenne","■","□")))</x:f>
        <x:v>■</x:v>
      </x:c>
      <x:c r="G78" s="378" t="str" cm="1">
        <x:f t="array" ref="G78">_xlfn.LET(_xlpm.x,LOWER(INDEX('Tableau de scores'!$J:$J,$A78)),IF(OR(_xlpm.x="",_xlpm.x="mesure descriptive"),"",IF(_xlpm.x="moyenne élevée","■","□")))</x:f>
        <x:v>□</x:v>
      </x:c>
      <x:c r="H78" s="378" t="str" cm="1">
        <x:f t="array" ref="H78">_xlfn.LET(_xlpm.x,LOWER(INDEX('Tableau de scores'!$J:$J,$A78)),IF(OR(_xlpm.x="",_xlpm.x="mesure descriptive"),"",IF(_xlpm.x="supérieur","■","□")))</x:f>
        <x:v>□</x:v>
      </x:c>
      <x:c r="I78" s="378" t="str" cm="1">
        <x:f t="array" ref="I78">_xlfn.LET(_xlpm.x,LOWER(INDEX('Tableau de scores'!$J:$J,$A78)),IF(OR(_xlpm.x="",_xlpm.x="mesure descriptive"),"",IF(_xlpm.x="très supérieur","■","□")))</x:f>
        <x:v>□</x:v>
      </x:c>
      <x:c r="J78" s="359" t="str" cm="1">
        <x:f t="array" ref="J78">SUBSTITUTE(INDEX('Tableau de scores'!$C:$C,$A78),"— ","")</x:f>
        <x:v>Total pertes de but verbales (Fluidité verbale, D-KEFS)</x:v>
      </x:c>
    </x:row>
    <x:row r="79" ht="18" customHeight="1">
      <x:c r="A79" s="377">
        <x:v>103</x:v>
      </x:c>
      <x:c r="B79" s="357" t="str">
        <x:f>"Persévération / monitoring verbal"</x:f>
        <x:v>Persévération / monitoring verbal</x:v>
      </x:c>
      <x:c r="C79" s="378" t="str" cm="1">
        <x:f t="array" ref="C79">_xlfn.LET(_xlpm.x,LOWER(INDEX('Tableau de scores'!$J:$J,$A79)),IF(OR(_xlpm.x="",_xlpm.x="mesure descriptive"),"",IF(_xlpm.x="extrêmement faible","■","□")))</x:f>
        <x:v>□</x:v>
      </x:c>
      <x:c r="D79" s="378" t="str" cm="1">
        <x:f t="array" ref="D79">_xlfn.LET(_xlpm.x,LOWER(INDEX('Tableau de scores'!$J:$J,$A79)),IF(OR(_xlpm.x="",_xlpm.x="mesure descriptive"),"",IF(_xlpm.x="limite","■","□")))</x:f>
        <x:v>□</x:v>
      </x:c>
      <x:c r="E79" s="378" t="str" cm="1">
        <x:f t="array" ref="E79">_xlfn.LET(_xlpm.x,LOWER(INDEX('Tableau de scores'!$J:$J,$A79)),IF(OR(_xlpm.x="",_xlpm.x="mesure descriptive"),"",IF(_xlpm.x="moyenne faible","■","□")))</x:f>
        <x:v>□</x:v>
      </x:c>
      <x:c r="F79" s="378" t="str" cm="1">
        <x:f t="array" ref="F79">_xlfn.LET(_xlpm.x,LOWER(INDEX('Tableau de scores'!$J:$J,$A79)),IF(OR(_xlpm.x="",_xlpm.x="mesure descriptive"),"",IF(_xlpm.x="moyenne","■","□")))</x:f>
        <x:v>■</x:v>
      </x:c>
      <x:c r="G79" s="378" t="str" cm="1">
        <x:f t="array" ref="G79">_xlfn.LET(_xlpm.x,LOWER(INDEX('Tableau de scores'!$J:$J,$A79)),IF(OR(_xlpm.x="",_xlpm.x="mesure descriptive"),"",IF(_xlpm.x="moyenne élevée","■","□")))</x:f>
        <x:v>□</x:v>
      </x:c>
      <x:c r="H79" s="378" t="str" cm="1">
        <x:f t="array" ref="H79">_xlfn.LET(_xlpm.x,LOWER(INDEX('Tableau de scores'!$J:$J,$A79)),IF(OR(_xlpm.x="",_xlpm.x="mesure descriptive"),"",IF(_xlpm.x="supérieur","■","□")))</x:f>
        <x:v>□</x:v>
      </x:c>
      <x:c r="I79" s="378" t="str" cm="1">
        <x:f t="array" ref="I79">_xlfn.LET(_xlpm.x,LOWER(INDEX('Tableau de scores'!$J:$J,$A79)),IF(OR(_xlpm.x="",_xlpm.x="mesure descriptive"),"",IF(_xlpm.x="très supérieur","■","□")))</x:f>
        <x:v>□</x:v>
      </x:c>
      <x:c r="J79" s="359" t="str" cm="1">
        <x:f t="array" ref="J79">SUBSTITUTE(INDEX('Tableau de scores'!$C:$C,$A79),"— ","")</x:f>
        <x:v>Total répétitions verbales (Fluidité verbale, D-KEFS)</x:v>
      </x:c>
    </x:row>
    <x:row r="80" ht="18" customHeight="1">
      <x:c r="A80" s="377">
        <x:v>105</x:v>
      </x:c>
      <x:c r="B80" s="357" t="str">
        <x:f>"Précision / monitoring verbal — pertes de but"</x:f>
        <x:v>Précision / monitoring verbal — pertes de but</x:v>
      </x:c>
      <x:c r="C80" s="378" t="str" cm="1">
        <x:f t="array" ref="C80">_xlfn.LET(_xlpm.x,LOWER(INDEX('Tableau de scores'!$J:$J,$A80)),IF(OR(_xlpm.x="",_xlpm.x="mesure descriptive"),"",IF(_xlpm.x="extrêmement faible","■","□")))</x:f>
        <x:v>□</x:v>
      </x:c>
      <x:c r="D80" s="378" t="str" cm="1">
        <x:f t="array" ref="D80">_xlfn.LET(_xlpm.x,LOWER(INDEX('Tableau de scores'!$J:$J,$A80)),IF(OR(_xlpm.x="",_xlpm.x="mesure descriptive"),"",IF(_xlpm.x="limite","■","□")))</x:f>
        <x:v>□</x:v>
      </x:c>
      <x:c r="E80" s="378" t="str" cm="1">
        <x:f t="array" ref="E80">_xlfn.LET(_xlpm.x,LOWER(INDEX('Tableau de scores'!$J:$J,$A80)),IF(OR(_xlpm.x="",_xlpm.x="mesure descriptive"),"",IF(_xlpm.x="moyenne faible","■","□")))</x:f>
        <x:v>□</x:v>
      </x:c>
      <x:c r="F80" s="378" t="str" cm="1">
        <x:f t="array" ref="F80">_xlfn.LET(_xlpm.x,LOWER(INDEX('Tableau de scores'!$J:$J,$A80)),IF(OR(_xlpm.x="",_xlpm.x="mesure descriptive"),"",IF(_xlpm.x="moyenne","■","□")))</x:f>
        <x:v>■</x:v>
      </x:c>
      <x:c r="G80" s="378" t="str" cm="1">
        <x:f t="array" ref="G80">_xlfn.LET(_xlpm.x,LOWER(INDEX('Tableau de scores'!$J:$J,$A80)),IF(OR(_xlpm.x="",_xlpm.x="mesure descriptive"),"",IF(_xlpm.x="moyenne élevée","■","□")))</x:f>
        <x:v>□</x:v>
      </x:c>
      <x:c r="H80" s="378" t="str" cm="1">
        <x:f t="array" ref="H80">_xlfn.LET(_xlpm.x,LOWER(INDEX('Tableau de scores'!$J:$J,$A80)),IF(OR(_xlpm.x="",_xlpm.x="mesure descriptive"),"",IF(_xlpm.x="supérieur","■","□")))</x:f>
        <x:v>□</x:v>
      </x:c>
      <x:c r="I80" s="378" t="str" cm="1">
        <x:f t="array" ref="I80">_xlfn.LET(_xlpm.x,LOWER(INDEX('Tableau de scores'!$J:$J,$A80)),IF(OR(_xlpm.x="",_xlpm.x="mesure descriptive"),"",IF(_xlpm.x="très supérieur","■","□")))</x:f>
        <x:v>□</x:v>
      </x:c>
      <x:c r="J80" s="359" t="str" cm="1">
        <x:f t="array" ref="J80">SUBSTITUTE(INDEX('Tableau de scores'!$C:$C,$A80),"— ","")</x:f>
        <x:v>Pourcentage d’erreurs de pertes de but (Fluidité verbale, D-KEFS)</x:v>
      </x:c>
    </x:row>
    <x:row r="81" ht="18" customHeight="1">
      <x:c r="A81" s="377">
        <x:v>106</x:v>
      </x:c>
      <x:c r="B81" s="357" t="str">
        <x:f>"Précision / monitoring verbal — répétitions"</x:f>
        <x:v>Précision / monitoring verbal — répétitions</x:v>
      </x:c>
      <x:c r="C81" s="378" t="str" cm="1">
        <x:f t="array" ref="C81">_xlfn.LET(_xlpm.x,LOWER(INDEX('Tableau de scores'!$J:$J,$A81)),IF(OR(_xlpm.x="",_xlpm.x="mesure descriptive"),"",IF(_xlpm.x="extrêmement faible","■","□")))</x:f>
        <x:v>□</x:v>
      </x:c>
      <x:c r="D81" s="378" t="str" cm="1">
        <x:f t="array" ref="D81">_xlfn.LET(_xlpm.x,LOWER(INDEX('Tableau de scores'!$J:$J,$A81)),IF(OR(_xlpm.x="",_xlpm.x="mesure descriptive"),"",IF(_xlpm.x="limite","■","□")))</x:f>
        <x:v>□</x:v>
      </x:c>
      <x:c r="E81" s="378" t="str" cm="1">
        <x:f t="array" ref="E81">_xlfn.LET(_xlpm.x,LOWER(INDEX('Tableau de scores'!$J:$J,$A81)),IF(OR(_xlpm.x="",_xlpm.x="mesure descriptive"),"",IF(_xlpm.x="moyenne faible","■","□")))</x:f>
        <x:v>□</x:v>
      </x:c>
      <x:c r="F81" s="378" t="str" cm="1">
        <x:f t="array" ref="F81">_xlfn.LET(_xlpm.x,LOWER(INDEX('Tableau de scores'!$J:$J,$A81)),IF(OR(_xlpm.x="",_xlpm.x="mesure descriptive"),"",IF(_xlpm.x="moyenne","■","□")))</x:f>
        <x:v>■</x:v>
      </x:c>
      <x:c r="G81" s="378" t="str" cm="1">
        <x:f t="array" ref="G81">_xlfn.LET(_xlpm.x,LOWER(INDEX('Tableau de scores'!$J:$J,$A81)),IF(OR(_xlpm.x="",_xlpm.x="mesure descriptive"),"",IF(_xlpm.x="moyenne élevée","■","□")))</x:f>
        <x:v>□</x:v>
      </x:c>
      <x:c r="H81" s="378" t="str" cm="1">
        <x:f t="array" ref="H81">_xlfn.LET(_xlpm.x,LOWER(INDEX('Tableau de scores'!$J:$J,$A81)),IF(OR(_xlpm.x="",_xlpm.x="mesure descriptive"),"",IF(_xlpm.x="supérieur","■","□")))</x:f>
        <x:v>□</x:v>
      </x:c>
      <x:c r="I81" s="378" t="str" cm="1">
        <x:f t="array" ref="I81">_xlfn.LET(_xlpm.x,LOWER(INDEX('Tableau de scores'!$J:$J,$A81)),IF(OR(_xlpm.x="",_xlpm.x="mesure descriptive"),"",IF(_xlpm.x="très supérieur","■","□")))</x:f>
        <x:v>□</x:v>
      </x:c>
      <x:c r="J81" s="359" t="str" cm="1">
        <x:f t="array" ref="J81">SUBSTITUTE(INDEX('Tableau de scores'!$C:$C,$A81),"— ","")</x:f>
        <x:v>Pourcentage d’erreurs de répétitions (Fluidité verbale, D-KEFS)</x:v>
      </x:c>
    </x:row>
    <x:row r="82" ht="18" customHeight="1">
      <x:c r="A82" s="377">
        <x:v>108</x:v>
      </x:c>
      <x:c r="B82" s="357" t="str">
        <x:f>_xlfn.LET(_xlpm.x,INDEX('Tableau de scores'!$D:$D,108),IF(_xlpm.x="","",UPPER(LEFT(_xlpm.x,1))&amp;MID(_xlpm.x,2,999)))</x:f>
        <x:v>Fluence visuomotrice non verbale</x:v>
      </x:c>
      <x:c r="C82" s="378" t="str" cm="1">
        <x:f t="array" ref="C82">_xlfn.LET(_xlpm.x,LOWER(INDEX('Tableau de scores'!$J:$J,$A82)),IF(OR(_xlpm.x="",_xlpm.x="mesure descriptive"),"",IF(_xlpm.x="extrêmement faible","■","□")))</x:f>
        <x:v>□</x:v>
      </x:c>
      <x:c r="D82" s="378" t="str" cm="1">
        <x:f t="array" ref="D82">_xlfn.LET(_xlpm.x,LOWER(INDEX('Tableau de scores'!$J:$J,$A82)),IF(OR(_xlpm.x="",_xlpm.x="mesure descriptive"),"",IF(_xlpm.x="limite","■","□")))</x:f>
        <x:v>□</x:v>
      </x:c>
      <x:c r="E82" s="378" t="str" cm="1">
        <x:f t="array" ref="E82">_xlfn.LET(_xlpm.x,LOWER(INDEX('Tableau de scores'!$J:$J,$A82)),IF(OR(_xlpm.x="",_xlpm.x="mesure descriptive"),"",IF(_xlpm.x="moyenne faible","■","□")))</x:f>
        <x:v>□</x:v>
      </x:c>
      <x:c r="F82" s="378" t="str" cm="1">
        <x:f t="array" ref="F82">_xlfn.LET(_xlpm.x,LOWER(INDEX('Tableau de scores'!$J:$J,$A82)),IF(OR(_xlpm.x="",_xlpm.x="mesure descriptive"),"",IF(_xlpm.x="moyenne","■","□")))</x:f>
        <x:v>■</x:v>
      </x:c>
      <x:c r="G82" s="378" t="str" cm="1">
        <x:f t="array" ref="G82">_xlfn.LET(_xlpm.x,LOWER(INDEX('Tableau de scores'!$J:$J,$A82)),IF(OR(_xlpm.x="",_xlpm.x="mesure descriptive"),"",IF(_xlpm.x="moyenne élevée","■","□")))</x:f>
        <x:v>□</x:v>
      </x:c>
      <x:c r="H82" s="378" t="str" cm="1">
        <x:f t="array" ref="H82">_xlfn.LET(_xlpm.x,LOWER(INDEX('Tableau de scores'!$J:$J,$A82)),IF(OR(_xlpm.x="",_xlpm.x="mesure descriptive"),"",IF(_xlpm.x="supérieur","■","□")))</x:f>
        <x:v>□</x:v>
      </x:c>
      <x:c r="I82" s="378" t="str" cm="1">
        <x:f t="array" ref="I82">_xlfn.LET(_xlpm.x,LOWER(INDEX('Tableau de scores'!$J:$J,$A82)),IF(OR(_xlpm.x="",_xlpm.x="mesure descriptive"),"",IF(_xlpm.x="très supérieur","■","□")))</x:f>
        <x:v>□</x:v>
      </x:c>
      <x:c r="J82" s="359" t="str" cm="1">
        <x:f t="array" ref="J82">SUBSTITUTE(INDEX('Tableau de scores'!$C:$C,$A82),"— ","")</x:f>
        <x:v>Fluidité graphique (D-KEFS)</x:v>
      </x:c>
    </x:row>
    <x:row r="83" ht="18" customHeight="1">
      <x:c r="A83" s="377">
        <x:v>109</x:v>
      </x:c>
      <x:c r="B83" s="357" t="str">
        <x:f>_xlfn.LET(_xlpm.x,INDEX('Tableau de scores'!$D:$D,109),IF(_xlpm.x="","",UPPER(LEFT(_xlpm.x,1))&amp;MID(_xlpm.x,2,999)))</x:f>
        <x:v>Productivité visuo-motrice</x:v>
      </x:c>
      <x:c r="C83" s="378" t="str" cm="1">
        <x:f t="array" ref="C83">_xlfn.LET(_xlpm.x,LOWER(INDEX('Tableau de scores'!$J:$J,$A83)),IF(OR(_xlpm.x="",_xlpm.x="mesure descriptive"),"",IF(_xlpm.x="extrêmement faible","■","□")))</x:f>
        <x:v>□</x:v>
      </x:c>
      <x:c r="D83" s="378" t="str" cm="1">
        <x:f t="array" ref="D83">_xlfn.LET(_xlpm.x,LOWER(INDEX('Tableau de scores'!$J:$J,$A83)),IF(OR(_xlpm.x="",_xlpm.x="mesure descriptive"),"",IF(_xlpm.x="limite","■","□")))</x:f>
        <x:v>□</x:v>
      </x:c>
      <x:c r="E83" s="378" t="str" cm="1">
        <x:f t="array" ref="E83">_xlfn.LET(_xlpm.x,LOWER(INDEX('Tableau de scores'!$J:$J,$A83)),IF(OR(_xlpm.x="",_xlpm.x="mesure descriptive"),"",IF(_xlpm.x="moyenne faible","■","□")))</x:f>
        <x:v>■</x:v>
      </x:c>
      <x:c r="F83" s="378" t="str" cm="1">
        <x:f t="array" ref="F83">_xlfn.LET(_xlpm.x,LOWER(INDEX('Tableau de scores'!$J:$J,$A83)),IF(OR(_xlpm.x="",_xlpm.x="mesure descriptive"),"",IF(_xlpm.x="moyenne","■","□")))</x:f>
        <x:v>□</x:v>
      </x:c>
      <x:c r="G83" s="378" t="str" cm="1">
        <x:f t="array" ref="G83">_xlfn.LET(_xlpm.x,LOWER(INDEX('Tableau de scores'!$J:$J,$A83)),IF(OR(_xlpm.x="",_xlpm.x="mesure descriptive"),"",IF(_xlpm.x="moyenne élevée","■","□")))</x:f>
        <x:v>□</x:v>
      </x:c>
      <x:c r="H83" s="378" t="str" cm="1">
        <x:f t="array" ref="H83">_xlfn.LET(_xlpm.x,LOWER(INDEX('Tableau de scores'!$J:$J,$A83)),IF(OR(_xlpm.x="",_xlpm.x="mesure descriptive"),"",IF(_xlpm.x="supérieur","■","□")))</x:f>
        <x:v>□</x:v>
      </x:c>
      <x:c r="I83" s="378" t="str" cm="1">
        <x:f t="array" ref="I83">_xlfn.LET(_xlpm.x,LOWER(INDEX('Tableau de scores'!$J:$J,$A83)),IF(OR(_xlpm.x="",_xlpm.x="mesure descriptive"),"",IF(_xlpm.x="très supérieur","■","□")))</x:f>
        <x:v>□</x:v>
      </x:c>
      <x:c r="J83" s="359" t="str" cm="1">
        <x:f t="array" ref="J83">SUBSTITUTE(INDEX('Tableau de scores'!$C:$C,$A83),"— ","")</x:f>
        <x:v>Condition 1 : Filled dots (Fluidité graphique, D-KEFS)</x:v>
      </x:c>
    </x:row>
    <x:row r="84" ht="18" customHeight="1">
      <x:c r="A84" s="377">
        <x:v>110</x:v>
      </x:c>
      <x:c r="B84" s="357" t="str">
        <x:f>_xlfn.LET(_xlpm.x,INDEX('Tableau de scores'!$D:$D,110),IF(_xlpm.x="","",UPPER(LEFT(_xlpm.x,1))&amp;MID(_xlpm.x,2,999)))</x:f>
        <x:v>Balayage visuel / inhibition</x:v>
      </x:c>
      <x:c r="C84" s="378" t="str" cm="1">
        <x:f t="array" ref="C84">_xlfn.LET(_xlpm.x,LOWER(INDEX('Tableau de scores'!$J:$J,$A84)),IF(OR(_xlpm.x="",_xlpm.x="mesure descriptive"),"",IF(_xlpm.x="extrêmement faible","■","□")))</x:f>
        <x:v>□</x:v>
      </x:c>
      <x:c r="D84" s="378" t="str" cm="1">
        <x:f t="array" ref="D84">_xlfn.LET(_xlpm.x,LOWER(INDEX('Tableau de scores'!$J:$J,$A84)),IF(OR(_xlpm.x="",_xlpm.x="mesure descriptive"),"",IF(_xlpm.x="limite","■","□")))</x:f>
        <x:v>□</x:v>
      </x:c>
      <x:c r="E84" s="378" t="str" cm="1">
        <x:f t="array" ref="E84">_xlfn.LET(_xlpm.x,LOWER(INDEX('Tableau de scores'!$J:$J,$A84)),IF(OR(_xlpm.x="",_xlpm.x="mesure descriptive"),"",IF(_xlpm.x="moyenne faible","■","□")))</x:f>
        <x:v>□</x:v>
      </x:c>
      <x:c r="F84" s="378" t="str" cm="1">
        <x:f t="array" ref="F84">_xlfn.LET(_xlpm.x,LOWER(INDEX('Tableau de scores'!$J:$J,$A84)),IF(OR(_xlpm.x="",_xlpm.x="mesure descriptive"),"",IF(_xlpm.x="moyenne","■","□")))</x:f>
        <x:v>■</x:v>
      </x:c>
      <x:c r="G84" s="378" t="str" cm="1">
        <x:f t="array" ref="G84">_xlfn.LET(_xlpm.x,LOWER(INDEX('Tableau de scores'!$J:$J,$A84)),IF(OR(_xlpm.x="",_xlpm.x="mesure descriptive"),"",IF(_xlpm.x="moyenne élevée","■","□")))</x:f>
        <x:v>□</x:v>
      </x:c>
      <x:c r="H84" s="378" t="str" cm="1">
        <x:f t="array" ref="H84">_xlfn.LET(_xlpm.x,LOWER(INDEX('Tableau de scores'!$J:$J,$A84)),IF(OR(_xlpm.x="",_xlpm.x="mesure descriptive"),"",IF(_xlpm.x="supérieur","■","□")))</x:f>
        <x:v>□</x:v>
      </x:c>
      <x:c r="I84" s="378" t="str" cm="1">
        <x:f t="array" ref="I84">_xlfn.LET(_xlpm.x,LOWER(INDEX('Tableau de scores'!$J:$J,$A84)),IF(OR(_xlpm.x="",_xlpm.x="mesure descriptive"),"",IF(_xlpm.x="très supérieur","■","□")))</x:f>
        <x:v>□</x:v>
      </x:c>
      <x:c r="J84" s="359" t="str" cm="1">
        <x:f t="array" ref="J84">SUBSTITUTE(INDEX('Tableau de scores'!$C:$C,$A84),"— ","")</x:f>
        <x:v>Condition 2 : Empty dots only (Fluidité graphique, D-KEFS)</x:v>
      </x:c>
    </x:row>
    <x:row r="85" ht="18" customHeight="1">
      <x:c r="A85" s="377">
        <x:v>111</x:v>
      </x:c>
      <x:c r="B85" s="357" t="str">
        <x:f>_xlfn.LET(_xlpm.x,INDEX('Tableau de scores'!$D:$D,111),IF(_xlpm.x="","",UPPER(LEFT(_xlpm.x,1))&amp;MID(_xlpm.x,2,999)))</x:f>
        <x:v>Flexibilité visuospatiale</x:v>
      </x:c>
      <x:c r="C85" s="378" t="str" cm="1">
        <x:f t="array" ref="C85">_xlfn.LET(_xlpm.x,LOWER(INDEX('Tableau de scores'!$J:$J,$A85)),IF(OR(_xlpm.x="",_xlpm.x="mesure descriptive"),"",IF(_xlpm.x="extrêmement faible","■","□")))</x:f>
        <x:v>□</x:v>
      </x:c>
      <x:c r="D85" s="378" t="str" cm="1">
        <x:f t="array" ref="D85">_xlfn.LET(_xlpm.x,LOWER(INDEX('Tableau de scores'!$J:$J,$A85)),IF(OR(_xlpm.x="",_xlpm.x="mesure descriptive"),"",IF(_xlpm.x="limite","■","□")))</x:f>
        <x:v>□</x:v>
      </x:c>
      <x:c r="E85" s="378" t="str" cm="1">
        <x:f t="array" ref="E85">_xlfn.LET(_xlpm.x,LOWER(INDEX('Tableau de scores'!$J:$J,$A85)),IF(OR(_xlpm.x="",_xlpm.x="mesure descriptive"),"",IF(_xlpm.x="moyenne faible","■","□")))</x:f>
        <x:v>□</x:v>
      </x:c>
      <x:c r="F85" s="378" t="str" cm="1">
        <x:f t="array" ref="F85">_xlfn.LET(_xlpm.x,LOWER(INDEX('Tableau de scores'!$J:$J,$A85)),IF(OR(_xlpm.x="",_xlpm.x="mesure descriptive"),"",IF(_xlpm.x="moyenne","■","□")))</x:f>
        <x:v>■</x:v>
      </x:c>
      <x:c r="G85" s="378" t="str" cm="1">
        <x:f t="array" ref="G85">_xlfn.LET(_xlpm.x,LOWER(INDEX('Tableau de scores'!$J:$J,$A85)),IF(OR(_xlpm.x="",_xlpm.x="mesure descriptive"),"",IF(_xlpm.x="moyenne élevée","■","□")))</x:f>
        <x:v>□</x:v>
      </x:c>
      <x:c r="H85" s="378" t="str" cm="1">
        <x:f t="array" ref="H85">_xlfn.LET(_xlpm.x,LOWER(INDEX('Tableau de scores'!$J:$J,$A85)),IF(OR(_xlpm.x="",_xlpm.x="mesure descriptive"),"",IF(_xlpm.x="supérieur","■","□")))</x:f>
        <x:v>□</x:v>
      </x:c>
      <x:c r="I85" s="378" t="str" cm="1">
        <x:f t="array" ref="I85">_xlfn.LET(_xlpm.x,LOWER(INDEX('Tableau de scores'!$J:$J,$A85)),IF(OR(_xlpm.x="",_xlpm.x="mesure descriptive"),"",IF(_xlpm.x="très supérieur","■","□")))</x:f>
        <x:v>□</x:v>
      </x:c>
      <x:c r="J85" s="359" t="str" cm="1">
        <x:f t="array" ref="J85">SUBSTITUTE(INDEX('Tableau de scores'!$C:$C,$A85),"— ","")</x:f>
        <x:v>Condition 3 : Switching (Fluidité graphique, D-KEFS)</x:v>
      </x:c>
    </x:row>
    <x:row r="86" ht="18" customHeight="1">
      <x:c r="A86" s="377">
        <x:v>112</x:v>
      </x:c>
      <x:c r="B86" s="357" t="str">
        <x:f>_xlfn.LET(_xlpm.x,INDEX('Tableau de scores'!$D:$D,112),IF(_xlpm.x="","",UPPER(LEFT(_xlpm.x,1))&amp;MID(_xlpm.x,2,999)))</x:f>
        <x:v>Productivité visuo-motrice globale</x:v>
      </x:c>
      <x:c r="C86" s="378" t="str" cm="1">
        <x:f t="array" ref="C86">_xlfn.LET(_xlpm.x,LOWER(INDEX('Tableau de scores'!$J:$J,$A86)),IF(OR(_xlpm.x="",_xlpm.x="mesure descriptive"),"",IF(_xlpm.x="extrêmement faible","■","□")))</x:f>
        <x:v>□</x:v>
      </x:c>
      <x:c r="D86" s="378" t="str" cm="1">
        <x:f t="array" ref="D86">_xlfn.LET(_xlpm.x,LOWER(INDEX('Tableau de scores'!$J:$J,$A86)),IF(OR(_xlpm.x="",_xlpm.x="mesure descriptive"),"",IF(_xlpm.x="limite","■","□")))</x:f>
        <x:v>□</x:v>
      </x:c>
      <x:c r="E86" s="378" t="str" cm="1">
        <x:f t="array" ref="E86">_xlfn.LET(_xlpm.x,LOWER(INDEX('Tableau de scores'!$J:$J,$A86)),IF(OR(_xlpm.x="",_xlpm.x="mesure descriptive"),"",IF(_xlpm.x="moyenne faible","■","□")))</x:f>
        <x:v>□</x:v>
      </x:c>
      <x:c r="F86" s="378" t="str" cm="1">
        <x:f t="array" ref="F86">_xlfn.LET(_xlpm.x,LOWER(INDEX('Tableau de scores'!$J:$J,$A86)),IF(OR(_xlpm.x="",_xlpm.x="mesure descriptive"),"",IF(_xlpm.x="moyenne","■","□")))</x:f>
        <x:v>■</x:v>
      </x:c>
      <x:c r="G86" s="378" t="str" cm="1">
        <x:f t="array" ref="G86">_xlfn.LET(_xlpm.x,LOWER(INDEX('Tableau de scores'!$J:$J,$A86)),IF(OR(_xlpm.x="",_xlpm.x="mesure descriptive"),"",IF(_xlpm.x="moyenne élevée","■","□")))</x:f>
        <x:v>□</x:v>
      </x:c>
      <x:c r="H86" s="378" t="str" cm="1">
        <x:f t="array" ref="H86">_xlfn.LET(_xlpm.x,LOWER(INDEX('Tableau de scores'!$J:$J,$A86)),IF(OR(_xlpm.x="",_xlpm.x="mesure descriptive"),"",IF(_xlpm.x="supérieur","■","□")))</x:f>
        <x:v>□</x:v>
      </x:c>
      <x:c r="I86" s="378" t="str" cm="1">
        <x:f t="array" ref="I86">_xlfn.LET(_xlpm.x,LOWER(INDEX('Tableau de scores'!$J:$J,$A86)),IF(OR(_xlpm.x="",_xlpm.x="mesure descriptive"),"",IF(_xlpm.x="très supérieur","■","□")))</x:f>
        <x:v>□</x:v>
      </x:c>
      <x:c r="J86" s="359" t="str" cm="1">
        <x:f t="array" ref="J86">SUBSTITUTE(INDEX('Tableau de scores'!$C:$C,$A86),"— ","")</x:f>
        <x:v>Points pleins + points vides combinés : total correct (Fluidité graphique, D-KEFS)</x:v>
      </x:c>
    </x:row>
    <x:row r="87" ht="18" customHeight="1">
      <x:c r="A87" s="377">
        <x:v>114</x:v>
      </x:c>
      <x:c r="B87" s="357" t="str">
        <x:f>"Maintien de consigne / monitoring graphique"</x:f>
        <x:v>Maintien de consigne / monitoring graphique</x:v>
      </x:c>
      <x:c r="C87" s="378" t="str" cm="1">
        <x:f t="array" ref="C87">_xlfn.LET(_xlpm.x,LOWER(INDEX('Tableau de scores'!$J:$J,$A87)),IF(OR(_xlpm.x="",_xlpm.x="mesure descriptive"),"",IF(_xlpm.x="extrêmement faible","■","□")))</x:f>
        <x:v>□</x:v>
      </x:c>
      <x:c r="D87" s="378" t="str" cm="1">
        <x:f t="array" ref="D87">_xlfn.LET(_xlpm.x,LOWER(INDEX('Tableau de scores'!$J:$J,$A87)),IF(OR(_xlpm.x="",_xlpm.x="mesure descriptive"),"",IF(_xlpm.x="limite","■","□")))</x:f>
        <x:v>□</x:v>
      </x:c>
      <x:c r="E87" s="378" t="str" cm="1">
        <x:f t="array" ref="E87">_xlfn.LET(_xlpm.x,LOWER(INDEX('Tableau de scores'!$J:$J,$A87)),IF(OR(_xlpm.x="",_xlpm.x="mesure descriptive"),"",IF(_xlpm.x="moyenne faible","■","□")))</x:f>
        <x:v>□</x:v>
      </x:c>
      <x:c r="F87" s="378" t="str" cm="1">
        <x:f t="array" ref="F87">_xlfn.LET(_xlpm.x,LOWER(INDEX('Tableau de scores'!$J:$J,$A87)),IF(OR(_xlpm.x="",_xlpm.x="mesure descriptive"),"",IF(_xlpm.x="moyenne","■","□")))</x:f>
        <x:v>■</x:v>
      </x:c>
      <x:c r="G87" s="378" t="str" cm="1">
        <x:f t="array" ref="G87">_xlfn.LET(_xlpm.x,LOWER(INDEX('Tableau de scores'!$J:$J,$A87)),IF(OR(_xlpm.x="",_xlpm.x="mesure descriptive"),"",IF(_xlpm.x="moyenne élevée","■","□")))</x:f>
        <x:v>□</x:v>
      </x:c>
      <x:c r="H87" s="378" t="str" cm="1">
        <x:f t="array" ref="H87">_xlfn.LET(_xlpm.x,LOWER(INDEX('Tableau de scores'!$J:$J,$A87)),IF(OR(_xlpm.x="",_xlpm.x="mesure descriptive"),"",IF(_xlpm.x="supérieur","■","□")))</x:f>
        <x:v>□</x:v>
      </x:c>
      <x:c r="I87" s="378" t="str" cm="1">
        <x:f t="array" ref="I87">_xlfn.LET(_xlpm.x,LOWER(INDEX('Tableau de scores'!$J:$J,$A87)),IF(OR(_xlpm.x="",_xlpm.x="mesure descriptive"),"",IF(_xlpm.x="très supérieur","■","□")))</x:f>
        <x:v>□</x:v>
      </x:c>
      <x:c r="J87" s="359" t="str" cm="1">
        <x:f t="array" ref="J87">SUBSTITUTE(INDEX('Tableau de scores'!$C:$C,$A87),"— ","")</x:f>
        <x:v>Total pertes de but graphiques (Fluidité graphique, D-KEFS)</x:v>
      </x:c>
    </x:row>
    <x:row r="88" ht="18" customHeight="1">
      <x:c r="A88" s="377">
        <x:v>115</x:v>
      </x:c>
      <x:c r="B88" s="357" t="str">
        <x:f>"Persévération / monitoring graphique"</x:f>
        <x:v>Persévération / monitoring graphique</x:v>
      </x:c>
      <x:c r="C88" s="378" t="str" cm="1">
        <x:f t="array" ref="C88">_xlfn.LET(_xlpm.x,LOWER(INDEX('Tableau de scores'!$J:$J,$A88)),IF(OR(_xlpm.x="",_xlpm.x="mesure descriptive"),"",IF(_xlpm.x="extrêmement faible","■","□")))</x:f>
        <x:v>□</x:v>
      </x:c>
      <x:c r="D88" s="378" t="str" cm="1">
        <x:f t="array" ref="D88">_xlfn.LET(_xlpm.x,LOWER(INDEX('Tableau de scores'!$J:$J,$A88)),IF(OR(_xlpm.x="",_xlpm.x="mesure descriptive"),"",IF(_xlpm.x="limite","■","□")))</x:f>
        <x:v>□</x:v>
      </x:c>
      <x:c r="E88" s="378" t="str" cm="1">
        <x:f t="array" ref="E88">_xlfn.LET(_xlpm.x,LOWER(INDEX('Tableau de scores'!$J:$J,$A88)),IF(OR(_xlpm.x="",_xlpm.x="mesure descriptive"),"",IF(_xlpm.x="moyenne faible","■","□")))</x:f>
        <x:v>□</x:v>
      </x:c>
      <x:c r="F88" s="378" t="str" cm="1">
        <x:f t="array" ref="F88">_xlfn.LET(_xlpm.x,LOWER(INDEX('Tableau de scores'!$J:$J,$A88)),IF(OR(_xlpm.x="",_xlpm.x="mesure descriptive"),"",IF(_xlpm.x="moyenne","■","□")))</x:f>
        <x:v>■</x:v>
      </x:c>
      <x:c r="G88" s="378" t="str" cm="1">
        <x:f t="array" ref="G88">_xlfn.LET(_xlpm.x,LOWER(INDEX('Tableau de scores'!$J:$J,$A88)),IF(OR(_xlpm.x="",_xlpm.x="mesure descriptive"),"",IF(_xlpm.x="moyenne élevée","■","□")))</x:f>
        <x:v>□</x:v>
      </x:c>
      <x:c r="H88" s="378" t="str" cm="1">
        <x:f t="array" ref="H88">_xlfn.LET(_xlpm.x,LOWER(INDEX('Tableau de scores'!$J:$J,$A88)),IF(OR(_xlpm.x="",_xlpm.x="mesure descriptive"),"",IF(_xlpm.x="supérieur","■","□")))</x:f>
        <x:v>□</x:v>
      </x:c>
      <x:c r="I88" s="378" t="str" cm="1">
        <x:f t="array" ref="I88">_xlfn.LET(_xlpm.x,LOWER(INDEX('Tableau de scores'!$J:$J,$A88)),IF(OR(_xlpm.x="",_xlpm.x="mesure descriptive"),"",IF(_xlpm.x="très supérieur","■","□")))</x:f>
        <x:v>□</x:v>
      </x:c>
      <x:c r="J88" s="359" t="str" cm="1">
        <x:f t="array" ref="J88">SUBSTITUTE(INDEX('Tableau de scores'!$C:$C,$A88),"— ","")</x:f>
        <x:v>Total répétitions graphiques (Fluidité graphique, D-KEFS)</x:v>
      </x:c>
    </x:row>
    <x:row r="89" ht="18" customHeight="1">
      <x:c r="A89" s="377">
        <x:v>116</x:v>
      </x:c>
      <x:c r="B89" s="357" t="str">
        <x:f>_xlfn.LET(_xlpm.x,INDEX('Tableau de scores'!$D:$D,116),IF(_xlpm.x="","",UPPER(LEFT(_xlpm.x,1))&amp;MID(_xlpm.x,2,999)))</x:f>
        <x:v>Vitesse / productivité visuo-motrice</x:v>
      </x:c>
      <x:c r="C89" s="378" t="str" cm="1">
        <x:f t="array" ref="C89">_xlfn.LET(_xlpm.x,LOWER(INDEX('Tableau de scores'!$J:$J,$A89)),IF(OR(_xlpm.x="",_xlpm.x="mesure descriptive"),"",IF(_xlpm.x="extrêmement faible","■","□")))</x:f>
        <x:v>□</x:v>
      </x:c>
      <x:c r="D89" s="378" t="str" cm="1">
        <x:f t="array" ref="D89">_xlfn.LET(_xlpm.x,LOWER(INDEX('Tableau de scores'!$J:$J,$A89)),IF(OR(_xlpm.x="",_xlpm.x="mesure descriptive"),"",IF(_xlpm.x="limite","■","□")))</x:f>
        <x:v>□</x:v>
      </x:c>
      <x:c r="E89" s="378" t="str" cm="1">
        <x:f t="array" ref="E89">_xlfn.LET(_xlpm.x,LOWER(INDEX('Tableau de scores'!$J:$J,$A89)),IF(OR(_xlpm.x="",_xlpm.x="mesure descriptive"),"",IF(_xlpm.x="moyenne faible","■","□")))</x:f>
        <x:v>■</x:v>
      </x:c>
      <x:c r="F89" s="378" t="str" cm="1">
        <x:f t="array" ref="F89">_xlfn.LET(_xlpm.x,LOWER(INDEX('Tableau de scores'!$J:$J,$A89)),IF(OR(_xlpm.x="",_xlpm.x="mesure descriptive"),"",IF(_xlpm.x="moyenne","■","□")))</x:f>
        <x:v>□</x:v>
      </x:c>
      <x:c r="G89" s="378" t="str" cm="1">
        <x:f t="array" ref="G89">_xlfn.LET(_xlpm.x,LOWER(INDEX('Tableau de scores'!$J:$J,$A89)),IF(OR(_xlpm.x="",_xlpm.x="mesure descriptive"),"",IF(_xlpm.x="moyenne élevée","■","□")))</x:f>
        <x:v>□</x:v>
      </x:c>
      <x:c r="H89" s="378" t="str" cm="1">
        <x:f t="array" ref="H89">_xlfn.LET(_xlpm.x,LOWER(INDEX('Tableau de scores'!$J:$J,$A89)),IF(OR(_xlpm.x="",_xlpm.x="mesure descriptive"),"",IF(_xlpm.x="supérieur","■","□")))</x:f>
        <x:v>□</x:v>
      </x:c>
      <x:c r="I89" s="378" t="str" cm="1">
        <x:f t="array" ref="I89">_xlfn.LET(_xlpm.x,LOWER(INDEX('Tableau de scores'!$J:$J,$A89)),IF(OR(_xlpm.x="",_xlpm.x="mesure descriptive"),"",IF(_xlpm.x="très supérieur","■","□")))</x:f>
        <x:v>□</x:v>
      </x:c>
      <x:c r="J89" s="359" t="str" cm="1">
        <x:f t="array" ref="J89">SUBSTITUTE(INDEX('Tableau de scores'!$C:$C,$A89),"— ","")</x:f>
        <x:v>Total tentatives graphiques (Fluidité graphique, D-KEFS)</x:v>
      </x:c>
    </x:row>
    <x:row r="90" ht="18" customHeight="1">
      <x:c r="A90" s="377">
        <x:v>117</x:v>
      </x:c>
      <x:c r="B90" s="357" t="str">
        <x:f>"Précision / monitoring graphique"</x:f>
        <x:v>Précision / monitoring graphique</x:v>
      </x:c>
      <x:c r="C90" s="378" t="str" cm="1">
        <x:f t="array" ref="C90">_xlfn.LET(_xlpm.x,LOWER(INDEX('Tableau de scores'!$J:$J,$A90)),IF(OR(_xlpm.x="",_xlpm.x="mesure descriptive"),"",IF(_xlpm.x="extrêmement faible","■","□")))</x:f>
        <x:v>□</x:v>
      </x:c>
      <x:c r="D90" s="378" t="str" cm="1">
        <x:f t="array" ref="D90">_xlfn.LET(_xlpm.x,LOWER(INDEX('Tableau de scores'!$J:$J,$A90)),IF(OR(_xlpm.x="",_xlpm.x="mesure descriptive"),"",IF(_xlpm.x="limite","■","□")))</x:f>
        <x:v>□</x:v>
      </x:c>
      <x:c r="E90" s="378" t="str" cm="1">
        <x:f t="array" ref="E90">_xlfn.LET(_xlpm.x,LOWER(INDEX('Tableau de scores'!$J:$J,$A90)),IF(OR(_xlpm.x="",_xlpm.x="mesure descriptive"),"",IF(_xlpm.x="moyenne faible","■","□")))</x:f>
        <x:v>□</x:v>
      </x:c>
      <x:c r="F90" s="378" t="str" cm="1">
        <x:f t="array" ref="F90">_xlfn.LET(_xlpm.x,LOWER(INDEX('Tableau de scores'!$J:$J,$A90)),IF(OR(_xlpm.x="",_xlpm.x="mesure descriptive"),"",IF(_xlpm.x="moyenne","■","□")))</x:f>
        <x:v>■</x:v>
      </x:c>
      <x:c r="G90" s="378" t="str" cm="1">
        <x:f t="array" ref="G90">_xlfn.LET(_xlpm.x,LOWER(INDEX('Tableau de scores'!$J:$J,$A90)),IF(OR(_xlpm.x="",_xlpm.x="mesure descriptive"),"",IF(_xlpm.x="moyenne élevée","■","□")))</x:f>
        <x:v>□</x:v>
      </x:c>
      <x:c r="H90" s="378" t="str" cm="1">
        <x:f t="array" ref="H90">_xlfn.LET(_xlpm.x,LOWER(INDEX('Tableau de scores'!$J:$J,$A90)),IF(OR(_xlpm.x="",_xlpm.x="mesure descriptive"),"",IF(_xlpm.x="supérieur","■","□")))</x:f>
        <x:v>□</x:v>
      </x:c>
      <x:c r="I90" s="378" t="str" cm="1">
        <x:f t="array" ref="I90">_xlfn.LET(_xlpm.x,LOWER(INDEX('Tableau de scores'!$J:$J,$A90)),IF(OR(_xlpm.x="",_xlpm.x="mesure descriptive"),"",IF(_xlpm.x="très supérieur","■","□")))</x:f>
        <x:v>□</x:v>
      </x:c>
      <x:c r="J90" s="359" t="str" cm="1">
        <x:f t="array" ref="J90">SUBSTITUTE(INDEX('Tableau de scores'!$C:$C,$A90),"— ","")</x:f>
        <x:v>Pourcentage d’exactitude graphique (Fluidité graphique, D-KEFS)</x:v>
      </x:c>
    </x:row>
  </x:sheetData>
  <x:mergeCells>
    <x:mergeCell ref="C5:E5"/>
    <x:mergeCell ref="G5:I5"/>
  </x:mergeCells>
  <x:pageMargins left="0.7" right="0.7" top="0.75" bottom="0.75" header="0.3" footer="0.3"/>
  <x:legacyDrawing xmlns:r="http://schemas.openxmlformats.org/officeDocument/2006/relationships" r:id="Rb3a50d732f794a85"/>
</x:worksheet>
</file>

<file path=xl/worksheets/sheet5.xml><?xml version="1.0" encoding="utf-8"?>
<x:worksheet xmlns:x="http://schemas.openxmlformats.org/spreadsheetml/2006/main">
  <x:sheetPr>
    <x:tabColor rgb="FF2F75B5"/>
  </x:sheetPr>
  <x:sheetViews>
    <x:sheetView showGridLines="0" workbookViewId="0"/>
  </x:sheetViews>
  <x:sheetFormatPr baseColWidth="10" defaultColWidth="8.83203125" defaultRowHeight="16"/>
  <x:cols>
    <x:col min="1" max="1" width="38.1640625" customWidth="1"/>
    <x:col min="2" max="2" width="17" style="362" customWidth="1"/>
    <x:col min="3" max="3" width="10.1640625" style="362" customWidth="1"/>
    <x:col min="4" max="4" width="65.1640625" style="352" customWidth="1"/>
  </x:cols>
  <x:sheetData>
    <x:row r="1" ht="19">
      <x:c r="A1" s="437" t="s">
        <x:v>484</x:v>
      </x:c>
      <x:c r="B1" s="437"/>
      <x:c r="C1" s="437"/>
      <x:c r="D1" s="437"/>
    </x:row>
    <x:row r="2">
      <x:c r="A2" s="391" t="s">
        <x:v>418</x:v>
      </x:c>
      <x:c r="B2" s="392" t="str">
        <x:f>'Tableau de scores'!C3</x:f>
        <x:v>Mme Gingras</x:v>
      </x:c>
      <x:c r="C2" s="392"/>
      <x:c r="D2" s="391" t="s">
        <x:v>419</x:v>
      </x:c>
    </x:row>
    <x:row r="3" ht="32">
      <x:c r="A3" s="393" t="s">
        <x:v>485</x:v>
      </x:c>
      <x:c r="B3" s="393" t="s">
        <x:v>486</x:v>
      </x:c>
      <x:c r="C3" s="393" t="s">
        <x:v>17</x:v>
      </x:c>
      <x:c r="D3" s="393" t="s">
        <x:v>477</x:v>
      </x:c>
    </x:row>
    <x:row r="4">
      <x:c r="A4" s="394" t="str">
        <x:f>"Capacités intellectuelles générales"</x:f>
        <x:v>Capacités intellectuelles générales</x:v>
      </x:c>
      <x:c r="B4" s="394"/>
      <x:c r="C4" s="394"/>
      <x:c r="D4" s="394"/>
    </x:row>
    <x:row r="5">
      <x:c r="A5" s="395" t="str">
        <x:f>"Fonctionnement intellectuel général"</x:f>
        <x:v>Fonctionnement intellectuel général</x:v>
      </x:c>
      <x:c r="B5" s="396" t="str">
        <x:f>_xlfn.LET(_xlpm.x,LOWER(INDEX('Tableau de scores'!$J:$J,12)),IF(OR(_xlpm.x="",_xlpm.x="mesure descriptive"),"",UPPER(LEFT(_xlpm.x,1))&amp;MID(_xlpm.x,2,999)))</x:f>
        <x:v>Moyenne élevée</x:v>
      </x:c>
      <x:c r="C5" s="397" t="str">
        <x:f>INDEX('Tableau de scores'!$K:$K,12)</x:f>
        <x:v>76,8e</x:v>
      </x:c>
      <x:c r="D5" s="395" t="str">
        <x:f>SUBSTITUTE(INDEX('Tableau de scores'!$C:$C,12),"— ","")</x:f>
        <x:v>QI total (WAIS-IV)</x:v>
      </x:c>
    </x:row>
    <x:row r="6">
      <x:c r="A6" s="395" t="str">
        <x:f>"Compréhension verbale"</x:f>
        <x:v>Compréhension verbale</x:v>
      </x:c>
      <x:c r="B6" s="396" t="str">
        <x:f>_xlfn.LET(_xlpm.x,LOWER(INDEX('Tableau de scores'!$J:$J,14)),IF(OR(_xlpm.x="",_xlpm.x="mesure descriptive"),"",UPPER(LEFT(_xlpm.x,1))&amp;MID(_xlpm.x,2,999)))</x:f>
        <x:v>Moyenne élevée</x:v>
      </x:c>
      <x:c r="C6" s="397" t="str">
        <x:f>INDEX('Tableau de scores'!$K:$K,14)</x:f>
        <x:v>87,1e</x:v>
      </x:c>
      <x:c r="D6" s="395" t="str">
        <x:f>SUBSTITUTE(INDEX('Tableau de scores'!$C:$C,14),"— ","")</x:f>
        <x:v>Indice de compréhension verbale (ICV)</x:v>
      </x:c>
    </x:row>
    <x:row r="7">
      <x:c r="A7" s="395" t="str">
        <x:f>_xlfn.LET(_xlpm.x,INDEX('Tableau de scores'!$D:$D,15),IF(_xlpm.x="","",UPPER(LEFT(_xlpm.x,1))&amp;MID(_xlpm.x,2,999)))</x:f>
        <x:v>Abstraction verbale</x:v>
      </x:c>
      <x:c r="B7" s="396" t="str">
        <x:f>_xlfn.LET(_xlpm.x,LOWER(INDEX('Tableau de scores'!$J:$J,15)),IF(OR(_xlpm.x="",_xlpm.x="mesure descriptive"),"",UPPER(LEFT(_xlpm.x,1))&amp;MID(_xlpm.x,2,999)))</x:f>
        <x:v>Supérieur</x:v>
      </x:c>
      <x:c r="C7" s="397" t="str">
        <x:f>INDEX('Tableau de scores'!$K:$K,15)</x:f>
        <x:v>95,2e</x:v>
      </x:c>
      <x:c r="D7" s="395" t="str">
        <x:f>SUBSTITUTE(INDEX('Tableau de scores'!$C:$C,15),"— ","")</x:f>
        <x:v>Similitudes (WAIS-IV)</x:v>
      </x:c>
    </x:row>
    <x:row r="8">
      <x:c r="A8" s="395" t="str">
        <x:f>_xlfn.LET(_xlpm.x,INDEX('Tableau de scores'!$D:$D,16),IF(_xlpm.x="","",UPPER(LEFT(_xlpm.x,1))&amp;MID(_xlpm.x,2,999)))</x:f>
        <x:v>Connaissances lexicales</x:v>
      </x:c>
      <x:c r="B8" s="396" t="str">
        <x:f>_xlfn.LET(_xlpm.x,LOWER(INDEX('Tableau de scores'!$J:$J,16)),IF(OR(_xlpm.x="",_xlpm.x="mesure descriptive"),"",UPPER(LEFT(_xlpm.x,1))&amp;MID(_xlpm.x,2,999)))</x:f>
        <x:v>Moyenne élevée</x:v>
      </x:c>
      <x:c r="C8" s="397" t="str">
        <x:f>INDEX('Tableau de scores'!$K:$K,16)</x:f>
        <x:v>84,1e</x:v>
      </x:c>
      <x:c r="D8" s="395" t="str">
        <x:f>SUBSTITUTE(INDEX('Tableau de scores'!$C:$C,16),"— ","")</x:f>
        <x:v>Vocabulaire (WAIS-IV)</x:v>
      </x:c>
    </x:row>
    <x:row r="9">
      <x:c r="A9" s="395" t="str">
        <x:f>_xlfn.LET(_xlpm.x,INDEX('Tableau de scores'!$D:$D,17),IF(_xlpm.x="","",UPPER(LEFT(_xlpm.x,1))&amp;MID(_xlpm.x,2,999)))</x:f>
        <x:v>Connaissances générales</x:v>
      </x:c>
      <x:c r="B9" s="396" t="str">
        <x:f>_xlfn.LET(_xlpm.x,LOWER(INDEX('Tableau de scores'!$J:$J,17)),IF(OR(_xlpm.x="",_xlpm.x="mesure descriptive"),"",UPPER(LEFT(_xlpm.x,1))&amp;MID(_xlpm.x,2,999)))</x:f>
        <x:v>Moyenne</x:v>
      </x:c>
      <x:c r="C9" s="396" t="str">
        <x:f>INDEX('Tableau de scores'!$K:$K,17)</x:f>
        <x:v>63,1e</x:v>
      </x:c>
      <x:c r="D9" s="395" t="str">
        <x:f>SUBSTITUTE(INDEX('Tableau de scores'!$C:$C,17),"— ","")</x:f>
        <x:v>Connaissances (WAIS-IV)</x:v>
      </x:c>
    </x:row>
    <x:row r="10">
      <x:c r="A10" s="395" t="str">
        <x:f>"Raisonnement visuospatial"</x:f>
        <x:v>Raisonnement visuospatial</x:v>
      </x:c>
      <x:c r="B10" s="396" t="str">
        <x:f>_xlfn.LET(_xlpm.x,LOWER(INDEX('Tableau de scores'!$J:$J,19)),IF(OR(_xlpm.x="",_xlpm.x="mesure descriptive"),"",UPPER(LEFT(_xlpm.x,1))&amp;MID(_xlpm.x,2,999)))</x:f>
        <x:v>Moyenne</x:v>
      </x:c>
      <x:c r="C10" s="396" t="str">
        <x:f>INDEX('Tableau de scores'!$K:$K,19)</x:f>
        <x:v>55,3e</x:v>
      </x:c>
      <x:c r="D10" s="395" t="str">
        <x:f>SUBSTITUTE(INDEX('Tableau de scores'!$C:$C,19),"— ","")</x:f>
        <x:v>Indice de raisonnement perceptif (IRP)</x:v>
      </x:c>
    </x:row>
    <x:row r="11">
      <x:c r="A11" s="395" t="str">
        <x:f>_xlfn.LET(_xlpm.x,INDEX('Tableau de scores'!$D:$D,20),IF(_xlpm.x="","",UPPER(LEFT(_xlpm.x,1))&amp;MID(_xlpm.x,2,999)))</x:f>
        <x:v>Analyse visuospatiale / visuoconstruction</x:v>
      </x:c>
      <x:c r="B11" s="396" t="str">
        <x:f>_xlfn.LET(_xlpm.x,LOWER(INDEX('Tableau de scores'!$J:$J,20)),IF(OR(_xlpm.x="",_xlpm.x="mesure descriptive"),"",UPPER(LEFT(_xlpm.x,1))&amp;MID(_xlpm.x,2,999)))</x:f>
        <x:v>Moyenne faible</x:v>
      </x:c>
      <x:c r="C11" s="396" t="str">
        <x:f>INDEX('Tableau de scores'!$K:$K,20)</x:f>
        <x:v>15,9e</x:v>
      </x:c>
      <x:c r="D11" s="395" t="str">
        <x:f>SUBSTITUTE(INDEX('Tableau de scores'!$C:$C,20),"— ","")</x:f>
        <x:v>Blocs (WAIS-IV)</x:v>
      </x:c>
    </x:row>
    <x:row r="12">
      <x:c r="A12" s="395" t="str">
        <x:f>_xlfn.LET(_xlpm.x,INDEX('Tableau de scores'!$D:$D,21),IF(_xlpm.x="","",UPPER(LEFT(_xlpm.x,1))&amp;MID(_xlpm.x,2,999)))</x:f>
        <x:v>Raisonnement fluide</x:v>
      </x:c>
      <x:c r="B12" s="396" t="str">
        <x:f>_xlfn.LET(_xlpm.x,LOWER(INDEX('Tableau de scores'!$J:$J,21)),IF(OR(_xlpm.x="",_xlpm.x="mesure descriptive"),"",UPPER(LEFT(_xlpm.x,1))&amp;MID(_xlpm.x,2,999)))</x:f>
        <x:v>Moyenne élevée</x:v>
      </x:c>
      <x:c r="C12" s="397" t="str">
        <x:f>INDEX('Tableau de scores'!$K:$K,21)</x:f>
        <x:v>74,8e</x:v>
      </x:c>
      <x:c r="D12" s="395" t="str">
        <x:f>SUBSTITUTE(INDEX('Tableau de scores'!$C:$C,21),"— ","")</x:f>
        <x:v>Matrices (WAIS-IV)</x:v>
      </x:c>
    </x:row>
    <x:row r="13">
      <x:c r="A13" s="395" t="str">
        <x:f>_xlfn.LET(_xlpm.x,INDEX('Tableau de scores'!$D:$D,22),IF(_xlpm.x="","",UPPER(LEFT(_xlpm.x,1))&amp;MID(_xlpm.x,2,999)))</x:f>
        <x:v>Analyse visuospatiale / rotation mentale</x:v>
      </x:c>
      <x:c r="B13" s="396" t="str">
        <x:f>_xlfn.LET(_xlpm.x,LOWER(INDEX('Tableau de scores'!$J:$J,22)),IF(OR(_xlpm.x="",_xlpm.x="mesure descriptive"),"",UPPER(LEFT(_xlpm.x,1))&amp;MID(_xlpm.x,2,999)))</x:f>
        <x:v>Moyenne élevée</x:v>
      </x:c>
      <x:c r="C13" s="397" t="str">
        <x:f>INDEX('Tableau de scores'!$K:$K,22)</x:f>
        <x:v>74,8e</x:v>
      </x:c>
      <x:c r="D13" s="395" t="str">
        <x:f>SUBSTITUTE(INDEX('Tableau de scores'!$C:$C,22),"— ","")</x:f>
        <x:v>Casse-têtes visuels (WAIS-IV)</x:v>
      </x:c>
    </x:row>
    <x:row r="14">
      <x:c r="A14" s="395" t="str">
        <x:f>"Vitesse de traitement"</x:f>
        <x:v>Vitesse de traitement</x:v>
      </x:c>
      <x:c r="B14" s="396" t="str">
        <x:f>_xlfn.LET(_xlpm.x,LOWER(INDEX('Tableau de scores'!$J:$J,31)),IF(OR(_xlpm.x="",_xlpm.x="mesure descriptive"),"",UPPER(LEFT(_xlpm.x,1))&amp;MID(_xlpm.x,2,999)))</x:f>
        <x:v>Moyenne</x:v>
      </x:c>
      <x:c r="C14" s="397" t="str">
        <x:f>INDEX('Tableau de scores'!$K:$K,31)</x:f>
        <x:v>72,6e</x:v>
      </x:c>
      <x:c r="D14" s="395" t="str">
        <x:f>SUBSTITUTE(INDEX('Tableau de scores'!$C:$C,31),"— ","")</x:f>
        <x:v>Indice de vitesse de traitement (IVT)</x:v>
      </x:c>
    </x:row>
    <x:row r="15">
      <x:c r="A15" s="395" t="str">
        <x:f>_xlfn.LET(_xlpm.x,INDEX('Tableau de scores'!$D:$D,32),IF(_xlpm.x="","",UPPER(LEFT(_xlpm.x,1))&amp;MID(_xlpm.x,2,999)))</x:f>
        <x:v>Balayage visuel / graphomotricité</x:v>
      </x:c>
      <x:c r="B15" s="396" t="str">
        <x:f>_xlfn.LET(_xlpm.x,LOWER(INDEX('Tableau de scores'!$J:$J,32)),IF(OR(_xlpm.x="",_xlpm.x="mesure descriptive"),"",UPPER(LEFT(_xlpm.x,1))&amp;MID(_xlpm.x,2,999)))</x:f>
        <x:v>Moyenne élevée</x:v>
      </x:c>
      <x:c r="C15" s="396" t="str">
        <x:f>INDEX('Tableau de scores'!$K:$K,32)</x:f>
        <x:v>74,8e</x:v>
      </x:c>
      <x:c r="D15" s="395" t="str">
        <x:f>SUBSTITUTE(INDEX('Tableau de scores'!$C:$C,32),"— ","")</x:f>
        <x:v>Code (WAIS-IV)</x:v>
      </x:c>
    </x:row>
    <x:row r="16">
      <x:c r="A16" s="395" t="str">
        <x:f>_xlfn.LET(_xlpm.x,INDEX('Tableau de scores'!$D:$D,33),IF(_xlpm.x="","",UPPER(LEFT(_xlpm.x,1))&amp;MID(_xlpm.x,2,999)))</x:f>
        <x:v>Attention sélective / balayage visuel</x:v>
      </x:c>
      <x:c r="B16" s="396" t="str">
        <x:f>_xlfn.LET(_xlpm.x,LOWER(INDEX('Tableau de scores'!$J:$J,33)),IF(OR(_xlpm.x="",_xlpm.x="mesure descriptive"),"",UPPER(LEFT(_xlpm.x,1))&amp;MID(_xlpm.x,2,999)))</x:f>
        <x:v>Moyenne</x:v>
      </x:c>
      <x:c r="C16" s="397" t="str">
        <x:f>INDEX('Tableau de scores'!$K:$K,33)</x:f>
        <x:v>63,1e</x:v>
      </x:c>
      <x:c r="D16" s="395" t="str">
        <x:f>SUBSTITUTE(INDEX('Tableau de scores'!$C:$C,33),"— ","")</x:f>
        <x:v>Repérage de symboles (WAIS-IV)</x:v>
      </x:c>
    </x:row>
    <x:row r="17" ht="32">
      <x:c r="A17" s="394" t="str">
        <x:f>"Attention, vitesse de base et mémoire de travail"</x:f>
        <x:v>Attention, vitesse de base et mémoire de travail</x:v>
      </x:c>
      <x:c r="B17" s="394"/>
      <x:c r="C17" s="398"/>
      <x:c r="D17" s="394"/>
    </x:row>
    <x:row r="18">
      <x:c r="A18" s="395" t="str">
        <x:f>_xlfn.LET(_xlpm.x,INDEX('Tableau de scores'!$D:$D,25),IF(_xlpm.x="","",UPPER(LEFT(_xlpm.x,1))&amp;MID(_xlpm.x,2,999)))</x:f>
        <x:v>Attention auditive / mémoire de travail</x:v>
      </x:c>
      <x:c r="B18" s="396" t="str">
        <x:f>_xlfn.LET(_xlpm.x,LOWER(INDEX('Tableau de scores'!$J:$J,25)),IF(OR(_xlpm.x="",_xlpm.x="mesure descriptive"),"",UPPER(LEFT(_xlpm.x,1))&amp;MID(_xlpm.x,2,999)))</x:f>
        <x:v>Moyenne</x:v>
      </x:c>
      <x:c r="C18" s="397" t="str">
        <x:f>INDEX('Tableau de scores'!$K:$K,25)</x:f>
        <x:v>36,9e</x:v>
      </x:c>
      <x:c r="D18" s="395" t="str">
        <x:f>SUBSTITUTE(INDEX('Tableau de scores'!$C:$C,25),"— ","")</x:f>
        <x:v>Séquence de chiffres (WAIS-IV)</x:v>
      </x:c>
    </x:row>
    <x:row r="19">
      <x:c r="A19" s="395" t="str">
        <x:f>_xlfn.LET(_xlpm.x,INDEX('Tableau de scores'!$D:$D,26),IF(_xlpm.x="","",UPPER(LEFT(_xlpm.x,1))&amp;MID(_xlpm.x,2,999)))</x:f>
        <x:v>Empan attentionnel auditif</x:v>
      </x:c>
      <x:c r="B19" s="396" t="str">
        <x:f>_xlfn.LET(_xlpm.x,LOWER(INDEX('Tableau de scores'!$J:$J,26)),IF(OR(_xlpm.x="",_xlpm.x="mesure descriptive"),"",UPPER(LEFT(_xlpm.x,1))&amp;MID(_xlpm.x,2,999)))</x:f>
        <x:v>Moyenne</x:v>
      </x:c>
      <x:c r="C19" s="397" t="str">
        <x:f>INDEX('Tableau de scores'!$K:$K,26)</x:f>
        <x:v>25,2e</x:v>
      </x:c>
      <x:c r="D19" s="395" t="str">
        <x:f>SUBSTITUTE(INDEX('Tableau de scores'!$C:$C,26),"— ","")</x:f>
        <x:v>Empan ordre direct (maintien) (Séquence de chiffres, WAIS-IV)</x:v>
      </x:c>
    </x:row>
    <x:row r="20">
      <x:c r="A20" s="395" t="str">
        <x:f>_xlfn.LET(_xlpm.x,INDEX('Tableau de scores'!$D:$D,27),IF(_xlpm.x="","",UPPER(LEFT(_xlpm.x,1))&amp;MID(_xlpm.x,2,999)))</x:f>
        <x:v>Mémoire de travail verbale / manipulation</x:v>
      </x:c>
      <x:c r="B20" s="396" t="str">
        <x:f>_xlfn.LET(_xlpm.x,LOWER(INDEX('Tableau de scores'!$J:$J,27)),IF(OR(_xlpm.x="",_xlpm.x="mesure descriptive"),"",UPPER(LEFT(_xlpm.x,1))&amp;MID(_xlpm.x,2,999)))</x:f>
        <x:v>Moyenne</x:v>
      </x:c>
      <x:c r="C20" s="397" t="str">
        <x:f>INDEX('Tableau de scores'!$K:$K,27)</x:f>
        <x:v>50,0e</x:v>
      </x:c>
      <x:c r="D20" s="395" t="str">
        <x:f>SUBSTITUTE(INDEX('Tableau de scores'!$C:$C,27),"— ","")</x:f>
        <x:v>Empan ordre inverse (manipulation) (Séquence de chiffres, WAIS-IV)</x:v>
      </x:c>
    </x:row>
    <x:row r="21">
      <x:c r="A21" s="395" t="str">
        <x:f>_xlfn.LET(_xlpm.x,INDEX('Tableau de scores'!$D:$D,28),IF(_xlpm.x="","",UPPER(LEFT(_xlpm.x,1))&amp;MID(_xlpm.x,2,999)))</x:f>
        <x:v>Séquençage attentionnel / mémoire de travail</x:v>
      </x:c>
      <x:c r="B21" s="396" t="str">
        <x:f>_xlfn.LET(_xlpm.x,LOWER(INDEX('Tableau de scores'!$J:$J,28)),IF(OR(_xlpm.x="",_xlpm.x="mesure descriptive"),"",UPPER(LEFT(_xlpm.x,1))&amp;MID(_xlpm.x,2,999)))</x:f>
        <x:v>Moyenne</x:v>
      </x:c>
      <x:c r="C21" s="397" t="str">
        <x:f>INDEX('Tableau de scores'!$K:$K,28)</x:f>
        <x:v>25,2e</x:v>
      </x:c>
      <x:c r="D21" s="395" t="str">
        <x:f>SUBSTITUTE(INDEX('Tableau de scores'!$C:$C,28),"— ","")</x:f>
        <x:v>Empan ordre croissant (manipulation) (Séquence de chiffres, WAIS-IV)</x:v>
      </x:c>
    </x:row>
    <x:row r="22">
      <x:c r="A22" s="395" t="str">
        <x:f>_xlfn.LET(_xlpm.x,INDEX('Tableau de scores'!$D:$D,29),IF(_xlpm.x="","",UPPER(LEFT(_xlpm.x,1))&amp;MID(_xlpm.x,2,999)))</x:f>
        <x:v>Calcul mental / mémoire de travail</x:v>
      </x:c>
      <x:c r="B22" s="396" t="str">
        <x:f>_xlfn.LET(_xlpm.x,LOWER(INDEX('Tableau de scores'!$J:$J,29)),IF(OR(_xlpm.x="",_xlpm.x="mesure descriptive"),"",UPPER(LEFT(_xlpm.x,1))&amp;MID(_xlpm.x,2,999)))</x:f>
        <x:v>Moyenne élevée</x:v>
      </x:c>
      <x:c r="C22" s="397" t="str">
        <x:f>INDEX('Tableau de scores'!$K:$K,29)</x:f>
        <x:v>84,1e</x:v>
      </x:c>
      <x:c r="D22" s="395" t="str">
        <x:f>SUBSTITUTE(INDEX('Tableau de scores'!$C:$C,29),"— ","")</x:f>
        <x:v>Arithmétique (WAIS-IV)</x:v>
      </x:c>
    </x:row>
    <x:row r="23">
      <x:c r="A23" s="395" t="str">
        <x:f>_xlfn.LET(_xlpm.x,INDEX('Tableau de scores'!$D:$D,34),IF(_xlpm.x="","",UPPER(LEFT(_xlpm.x,1))&amp;MID(_xlpm.x,2,999)))</x:f>
        <x:v>Dénomination / lecture automatisée</x:v>
      </x:c>
      <x:c r="B23" s="396" t="str">
        <x:f>_xlfn.LET(_xlpm.x,LOWER(INDEX('Tableau de scores'!$J:$J,34)),IF(OR(_xlpm.x="",_xlpm.x="mesure descriptive"),"",UPPER(LEFT(_xlpm.x,1))&amp;MID(_xlpm.x,2,999)))</x:f>
        <x:v>Moyenne</x:v>
      </x:c>
      <x:c r="C23" s="397" t="str">
        <x:f>INDEX('Tableau de scores'!$K:$K,34)</x:f>
        <x:v>63,1e</x:v>
      </x:c>
      <x:c r="D23" s="395" t="str">
        <x:f>SUBSTITUTE(INDEX('Tableau de scores'!$C:$C,34),"— ","")</x:f>
        <x:v>Stroop (D-KEFS) vitesse de base</x:v>
      </x:c>
    </x:row>
    <x:row r="24">
      <x:c r="A24" s="395" t="str">
        <x:f>_xlfn.LET(_xlpm.x,INDEX('Tableau de scores'!$D:$D,35),IF(_xlpm.x="","",UPPER(LEFT(_xlpm.x,1))&amp;MID(_xlpm.x,2,999)))</x:f>
        <x:v>Dénomination rapide</x:v>
      </x:c>
      <x:c r="B24" s="396" t="str">
        <x:f>_xlfn.LET(_xlpm.x,LOWER(INDEX('Tableau de scores'!$J:$J,35)),IF(OR(_xlpm.x="",_xlpm.x="mesure descriptive"),"",UPPER(LEFT(_xlpm.x,1))&amp;MID(_xlpm.x,2,999)))</x:f>
        <x:v>Moyenne</x:v>
      </x:c>
      <x:c r="C24" s="397" t="str">
        <x:f>INDEX('Tableau de scores'!$K:$K,35)</x:f>
        <x:v>36,9e</x:v>
      </x:c>
      <x:c r="D24" s="395" t="str">
        <x:f>SUBSTITUTE(INDEX('Tableau de scores'!$C:$C,35),"— ","")</x:f>
        <x:v>Condition 1 : Dénomination (Stroop, vitesse de base)</x:v>
      </x:c>
    </x:row>
    <x:row r="25">
      <x:c r="A25" s="395" t="str">
        <x:f>_xlfn.LET(_xlpm.x,INDEX('Tableau de scores'!$D:$D,36),IF(_xlpm.x="","",UPPER(LEFT(_xlpm.x,1))&amp;MID(_xlpm.x,2,999)))</x:f>
        <x:v>Lecture automatisée</x:v>
      </x:c>
      <x:c r="B25" s="396" t="str">
        <x:f>_xlfn.LET(_xlpm.x,LOWER(INDEX('Tableau de scores'!$J:$J,36)),IF(OR(_xlpm.x="",_xlpm.x="mesure descriptive"),"",UPPER(LEFT(_xlpm.x,1))&amp;MID(_xlpm.x,2,999)))</x:f>
        <x:v>Moyenne élevée</x:v>
      </x:c>
      <x:c r="C25" s="397" t="str">
        <x:f>INDEX('Tableau de scores'!$K:$K,36)</x:f>
        <x:v>74,8e</x:v>
      </x:c>
      <x:c r="D25" s="395" t="str">
        <x:f>SUBSTITUTE(INDEX('Tableau de scores'!$C:$C,36),"— ","")</x:f>
        <x:v>Condition 2 : Lecture (Stroop, vitesse de base)</x:v>
      </x:c>
    </x:row>
    <x:row r="26">
      <x:c r="A26" s="394" t="str">
        <x:f>"Mémoire et apprentissage"</x:f>
        <x:v>Mémoire et apprentissage</x:v>
      </x:c>
      <x:c r="B26" s="394"/>
      <x:c r="C26" s="398"/>
      <x:c r="D26" s="394"/>
    </x:row>
    <x:row r="27">
      <x:c r="A27" s="395" t="str">
        <x:f>_xlfn.LET(_xlpm.x,INDEX('Tableau de scores'!$D:$D,39),IF(_xlpm.x="","",UPPER(LEFT(_xlpm.x,1))&amp;MID(_xlpm.x,2,999)))</x:f>
        <x:v>Encodage / apprentissage verbal</x:v>
      </x:c>
      <x:c r="B27" s="396" t="str">
        <x:f>_xlfn.LET(_xlpm.x,LOWER(INDEX('Tableau de scores'!$J:$J,39)),IF(OR(_xlpm.x="",_xlpm.x="mesure descriptive"),"",UPPER(LEFT(_xlpm.x,1))&amp;MID(_xlpm.x,2,999)))</x:f>
        <x:v>Moyenne faible</x:v>
      </x:c>
      <x:c r="C27" s="396" t="str">
        <x:f>INDEX('Tableau de scores'!$K:$K,39)</x:f>
        <x:v>12,0e</x:v>
      </x:c>
      <x:c r="D27" s="395" t="str">
        <x:f>SUBSTITUTE(INDEX('Tableau de scores'!$C:$C,39),"— ","")</x:f>
        <x:v>Essais 1 à 5 (CVLT)</x:v>
      </x:c>
    </x:row>
    <x:row r="28">
      <x:c r="A28" s="395" t="str">
        <x:f>_xlfn.LET(_xlpm.x,INDEX('Tableau de scores'!$D:$D,40),IF(_xlpm.x="","",UPPER(LEFT(_xlpm.x,1))&amp;MID(_xlpm.x,2,999)))</x:f>
        <x:v>Mémoire verbale différée</x:v>
      </x:c>
      <x:c r="B28" s="396" t="str">
        <x:f>_xlfn.LET(_xlpm.x,LOWER(INDEX('Tableau de scores'!$J:$J,40)),IF(OR(_xlpm.x="",_xlpm.x="mesure descriptive"),"",UPPER(LEFT(_xlpm.x,1))&amp;MID(_xlpm.x,2,999)))</x:f>
        <x:v>Moyenne faible</x:v>
      </x:c>
      <x:c r="C28" s="397" t="str">
        <x:f>INDEX('Tableau de scores'!$K:$K,40)</x:f>
        <x:v>10,0e</x:v>
      </x:c>
      <x:c r="D28" s="395" t="str">
        <x:f>SUBSTITUTE(INDEX('Tableau de scores'!$C:$C,40),"— ","")</x:f>
        <x:v>Rappel différé (CVLT)</x:v>
      </x:c>
    </x:row>
    <x:row r="29">
      <x:c r="A29" s="395" t="str">
        <x:f>_xlfn.LET(_xlpm.x,INDEX('Tableau de scores'!$D:$D,41),IF(_xlpm.x="","",UPPER(LEFT(_xlpm.x,1))&amp;MID(_xlpm.x,2,999)))</x:f>
        <x:v>Rappel après interférence</x:v>
      </x:c>
      <x:c r="B29" s="396" t="str">
        <x:f>_xlfn.LET(_xlpm.x,LOWER(INDEX('Tableau de scores'!$J:$J,41)),IF(OR(_xlpm.x="",_xlpm.x="mesure descriptive"),"",UPPER(LEFT(_xlpm.x,1))&amp;MID(_xlpm.x,2,999)))</x:f>
        <x:v>Limite</x:v>
      </x:c>
      <x:c r="C29" s="397" t="str">
        <x:f>INDEX('Tableau de scores'!$K:$K,41)</x:f>
        <x:v>5,0e</x:v>
      </x:c>
      <x:c r="D29" s="395" t="str">
        <x:f>SUBSTITUTE(INDEX('Tableau de scores'!$C:$C,41),"— ","")</x:f>
        <x:v>Rappel total (avec liste B) (CVLT)</x:v>
      </x:c>
    </x:row>
    <x:row r="30">
      <x:c r="A30" s="395" t="str">
        <x:f>_xlfn.LET(_xlpm.x,INDEX('Tableau de scores'!$D:$D,43),IF(_xlpm.x="","",UPPER(LEFT(_xlpm.x,1))&amp;MID(_xlpm.x,2,999)))</x:f>
        <x:v>Monitoring verbal / intrusions d’apprentissage</x:v>
      </x:c>
      <x:c r="B30" s="396" t="str">
        <x:f>_xlfn.LET(_xlpm.x,LOWER(INDEX('Tableau de scores'!$J:$J,43)),IF(OR(_xlpm.x="",_xlpm.x="mesure descriptive"),"",UPPER(LEFT(_xlpm.x,1))&amp;MID(_xlpm.x,2,999)))</x:f>
        <x:v>Moyenne</x:v>
      </x:c>
      <x:c r="C30" s="397" t="str">
        <x:f>INDEX('Tableau de scores'!$K:$K,43)</x:f>
        <x:v>50,0e</x:v>
      </x:c>
      <x:c r="D30" s="395" t="str">
        <x:f>SUBSTITUTE(INDEX('Tableau de scores'!$C:$C,43),"— ","")</x:f>
        <x:v>Total intrusions essais 1 à 5 (CVLT)</x:v>
      </x:c>
    </x:row>
    <x:row r="31">
      <x:c r="A31" s="395" t="str">
        <x:f>_xlfn.LET(_xlpm.x,INDEX('Tableau de scores'!$D:$D,44),IF(_xlpm.x="","",UPPER(LEFT(_xlpm.x,1))&amp;MID(_xlpm.x,2,999)))</x:f>
        <x:v>Intrusions en rappel libre</x:v>
      </x:c>
      <x:c r="B31" s="396" t="str">
        <x:f>_xlfn.LET(_xlpm.x,LOWER(INDEX('Tableau de scores'!$J:$J,44)),IF(OR(_xlpm.x="",_xlpm.x="mesure descriptive"),"",UPPER(LEFT(_xlpm.x,1))&amp;MID(_xlpm.x,2,999)))</x:f>
        <x:v>Moyenne</x:v>
      </x:c>
      <x:c r="C31" s="397" t="str">
        <x:f>INDEX('Tableau de scores'!$K:$K,44)</x:f>
        <x:v>74,8e</x:v>
      </x:c>
      <x:c r="D31" s="395" t="str">
        <x:f>SUBSTITUTE(INDEX('Tableau de scores'!$C:$C,44),"— ","")</x:f>
        <x:v>Intrusions en rappel libre (CVLT)</x:v>
      </x:c>
    </x:row>
    <x:row r="32">
      <x:c r="A32" s="395" t="str">
        <x:f>_xlfn.LET(_xlpm.x,INDEX('Tableau de scores'!$D:$D,45),IF(_xlpm.x="","",UPPER(LEFT(_xlpm.x,1))&amp;MID(_xlpm.x,2,999)))</x:f>
        <x:v>Intrusions en rappel indicé</x:v>
      </x:c>
      <x:c r="B32" s="396" t="str">
        <x:f>_xlfn.LET(_xlpm.x,LOWER(INDEX('Tableau de scores'!$J:$J,45)),IF(OR(_xlpm.x="",_xlpm.x="mesure descriptive"),"",UPPER(LEFT(_xlpm.x,1))&amp;MID(_xlpm.x,2,999)))</x:f>
        <x:v>Moyenne</x:v>
      </x:c>
      <x:c r="C32" s="397" t="str">
        <x:f>INDEX('Tableau de scores'!$K:$K,45)</x:f>
        <x:v>84,1e</x:v>
      </x:c>
      <x:c r="D32" s="395" t="str">
        <x:f>SUBSTITUTE(INDEX('Tableau de scores'!$C:$C,45),"— ","")</x:f>
        <x:v>Intrusions en rappel indicé (CVLT)</x:v>
      </x:c>
    </x:row>
    <x:row r="33">
      <x:c r="A33" s="395" t="str">
        <x:f>_xlfn.LET(_xlpm.x,INDEX('Tableau de scores'!$D:$D,46),IF(_xlpm.x="","",UPPER(LEFT(_xlpm.x,1))&amp;MID(_xlpm.x,2,999)))</x:f>
        <x:v>Monitoring / contrôle des intrusions verbales</x:v>
      </x:c>
      <x:c r="B33" s="396" t="str">
        <x:f>_xlfn.LET(_xlpm.x,LOWER(INDEX('Tableau de scores'!$J:$J,46)),IF(OR(_xlpm.x="",_xlpm.x="mesure descriptive"),"",UPPER(LEFT(_xlpm.x,1))&amp;MID(_xlpm.x,2,999)))</x:f>
        <x:v>Moyenne</x:v>
      </x:c>
      <x:c r="C33" s="397" t="str">
        <x:f>INDEX('Tableau de scores'!$K:$K,46)</x:f>
        <x:v>63,1e</x:v>
      </x:c>
      <x:c r="D33" s="395" t="str">
        <x:f>SUBSTITUTE(INDEX('Tableau de scores'!$C:$C,46),"— ","")</x:f>
        <x:v>Total intrusions (CVLT)</x:v>
      </x:c>
    </x:row>
    <x:row r="34">
      <x:c r="A34" s="395" t="str">
        <x:f>_xlfn.LET(_xlpm.x,INDEX('Tableau de scores'!$D:$D,47),IF(_xlpm.x="","",UPPER(LEFT(_xlpm.x,1))&amp;MID(_xlpm.x,2,999)))</x:f>
        <x:v>Répétitions / persévérations verbales</x:v>
      </x:c>
      <x:c r="B34" s="396" t="str">
        <x:f>_xlfn.LET(_xlpm.x,LOWER(INDEX('Tableau de scores'!$J:$J,47)),IF(OR(_xlpm.x="",_xlpm.x="mesure descriptive"),"",UPPER(LEFT(_xlpm.x,1))&amp;MID(_xlpm.x,2,999)))</x:f>
        <x:v>Moyenne</x:v>
      </x:c>
      <x:c r="C34" s="397" t="str">
        <x:f>INDEX('Tableau de scores'!$K:$K,47)</x:f>
        <x:v>90,9e</x:v>
      </x:c>
      <x:c r="D34" s="395" t="str">
        <x:f>SUBSTITUTE(INDEX('Tableau de scores'!$C:$C,47),"— ","")</x:f>
        <x:v>Total répétitions (CVLT)</x:v>
      </x:c>
    </x:row>
    <x:row r="35">
      <x:c r="A35" s="395" t="str">
        <x:f>_xlfn.LET(_xlpm.x,INDEX('Tableau de scores'!$D:$D,48),IF(_xlpm.x="","",UPPER(LEFT(_xlpm.x,1))&amp;MID(_xlpm.x,2,999)))</x:f>
        <x:v>Reconnaissance verbale — détection des cibles</x:v>
      </x:c>
      <x:c r="B35" s="396" t="str">
        <x:f>_xlfn.LET(_xlpm.x,LOWER(INDEX('Tableau de scores'!$J:$J,48)),IF(OR(_xlpm.x="",_xlpm.x="mesure descriptive"),"",UPPER(LEFT(_xlpm.x,1))&amp;MID(_xlpm.x,2,999)))</x:f>
        <x:v>Limite</x:v>
      </x:c>
      <x:c r="C35" s="396" t="str">
        <x:f>INDEX('Tableau de scores'!$K:$K,48)</x:f>
        <x:v>2,3e</x:v>
      </x:c>
      <x:c r="D35" s="395" t="str">
        <x:f>SUBSTITUTE(INDEX('Tableau de scores'!$C:$C,48),"— ","")</x:f>
        <x:v>Reconnaissance O/N total cibles (CVLT)</x:v>
      </x:c>
    </x:row>
    <x:row r="36">
      <x:c r="A36" s="395" t="str">
        <x:f>_xlfn.LET(_xlpm.x,INDEX('Tableau de scores'!$D:$D,49),IF(_xlpm.x="","",UPPER(LEFT(_xlpm.x,1))&amp;MID(_xlpm.x,2,999)))</x:f>
        <x:v>Reconnaissance verbale — faux positifs</x:v>
      </x:c>
      <x:c r="B36" s="396" t="str">
        <x:f>_xlfn.LET(_xlpm.x,LOWER(INDEX('Tableau de scores'!$J:$J,49)),IF(OR(_xlpm.x="",_xlpm.x="mesure descriptive"),"",UPPER(LEFT(_xlpm.x,1))&amp;MID(_xlpm.x,2,999)))</x:f>
        <x:v>Moyenne</x:v>
      </x:c>
      <x:c r="C36" s="396" t="str">
        <x:f>INDEX('Tableau de scores'!$K:$K,49)</x:f>
        <x:v>84,1e</x:v>
      </x:c>
      <x:c r="D36" s="395" t="str">
        <x:f>SUBSTITUTE(INDEX('Tableau de scores'!$C:$C,49),"— ","")</x:f>
        <x:v>Reconnaissance O/N total faux positifs (CVLT)</x:v>
      </x:c>
    </x:row>
    <x:row r="37" ht="32">
      <x:c r="A37" s="395" t="str">
        <x:f>_xlfn.LET(_xlpm.x,INDEX('Tableau de scores'!$D:$D,50),IF(_xlpm.x="","",UPPER(LEFT(_xlpm.x,1))&amp;MID(_xlpm.x,2,999)))</x:f>
        <x:v>Reconnaissance verbale — discrimination cible/non-cible</x:v>
      </x:c>
      <x:c r="B37" s="396" t="str">
        <x:f>_xlfn.LET(_xlpm.x,LOWER(INDEX('Tableau de scores'!$J:$J,50)),IF(OR(_xlpm.x="",_xlpm.x="mesure descriptive"),"",UPPER(LEFT(_xlpm.x,1))&amp;MID(_xlpm.x,2,999)))</x:f>
        <x:v>Moyenne</x:v>
      </x:c>
      <x:c r="C37" s="396" t="str">
        <x:f>INDEX('Tableau de scores'!$K:$K,50)</x:f>
        <x:v>25,2e</x:v>
      </x:c>
      <x:c r="D37" s="395" t="str">
        <x:f>SUBSTITUTE(INDEX('Tableau de scores'!$C:$C,50),"— ","")</x:f>
        <x:v>Reconnaissance O/N discrimination non paramétrique (CVLT)</x:v>
      </x:c>
    </x:row>
    <x:row r="38">
      <x:c r="A38" s="395" t="str">
        <x:f>_xlfn.LET(_xlpm.x,INDEX('Tableau de scores'!$D:$D,53),IF(_xlpm.x="","",UPPER(LEFT(_xlpm.x,1))&amp;MID(_xlpm.x,2,999)))</x:f>
        <x:v>Organisation visuoconstructive / planification</x:v>
      </x:c>
      <x:c r="B38" s="396" t="str">
        <x:f>_xlfn.LET(_xlpm.x,LOWER(INDEX('Tableau de scores'!$J:$J,53)),IF(OR(_xlpm.x="",_xlpm.x="mesure descriptive"),"",UPPER(LEFT(_xlpm.x,1))&amp;MID(_xlpm.x,2,999)))</x:f>
        <x:v>Limite</x:v>
      </x:c>
      <x:c r="C38" s="396" t="str">
        <x:f>INDEX('Tableau de scores'!$K:$K,53)</x:f>
        <x:v>2,0e à 5,0e</x:v>
      </x:c>
      <x:c r="D38" s="395" t="str">
        <x:f>SUBSTITUTE(INDEX('Tableau de scores'!$C:$C,53),"— ","")</x:f>
        <x:v>Copie (Figure complexe de Rey)</x:v>
      </x:c>
    </x:row>
    <x:row r="39">
      <x:c r="A39" s="395" t="str">
        <x:f>_xlfn.LET(_xlpm.x,INDEX('Tableau de scores'!$D:$D,54),IF(_xlpm.x="","",UPPER(LEFT(_xlpm.x,1))&amp;MID(_xlpm.x,2,999)))</x:f>
        <x:v>Mémoire visuospatiale immédiate</x:v>
      </x:c>
      <x:c r="B39" s="396" t="str">
        <x:f>_xlfn.LET(_xlpm.x,LOWER(INDEX('Tableau de scores'!$J:$J,54)),IF(OR(_xlpm.x="",_xlpm.x="mesure descriptive"),"",UPPER(LEFT(_xlpm.x,1))&amp;MID(_xlpm.x,2,999)))</x:f>
        <x:v>Limite</x:v>
      </x:c>
      <x:c r="C39" s="396" t="str">
        <x:f>INDEX('Tableau de scores'!$K:$K,54)</x:f>
        <x:v>2,9e</x:v>
      </x:c>
      <x:c r="D39" s="395" t="str">
        <x:f>SUBSTITUTE(INDEX('Tableau de scores'!$C:$C,54),"— ","")</x:f>
        <x:v>Rappel immédiat (Figure complexe de Rey)</x:v>
      </x:c>
    </x:row>
    <x:row r="40">
      <x:c r="A40" s="395" t="str">
        <x:f>_xlfn.LET(_xlpm.x,INDEX('Tableau de scores'!$D:$D,55),IF(_xlpm.x="","",UPPER(LEFT(_xlpm.x,1))&amp;MID(_xlpm.x,2,999)))</x:f>
        <x:v>Mémoire visuospatiale différée</x:v>
      </x:c>
      <x:c r="B40" s="396" t="str">
        <x:f>_xlfn.LET(_xlpm.x,LOWER(INDEX('Tableau de scores'!$J:$J,55)),IF(OR(_xlpm.x="",_xlpm.x="mesure descriptive"),"",UPPER(LEFT(_xlpm.x,1))&amp;MID(_xlpm.x,2,999)))</x:f>
        <x:v>Extrêmement faible</x:v>
      </x:c>
      <x:c r="C40" s="396" t="str">
        <x:f>INDEX('Tableau de scores'!$K:$K,55)</x:f>
        <x:v>1,8e</x:v>
      </x:c>
      <x:c r="D40" s="395" t="str">
        <x:f>SUBSTITUTE(INDEX('Tableau de scores'!$C:$C,55),"— ","")</x:f>
        <x:v>Rappel différé (Figure complexe de Rey)</x:v>
      </x:c>
    </x:row>
    <x:row r="41">
      <x:c r="A41" s="395" t="str">
        <x:f>_xlfn.LET(_xlpm.x,INDEX('Tableau de scores'!$D:$D,56),IF(_xlpm.x="","",UPPER(LEFT(_xlpm.x,1))&amp;MID(_xlpm.x,2,999)))</x:f>
        <x:v>Reconnaissance visuospatiale</x:v>
      </x:c>
      <x:c r="B41" s="396" t="str">
        <x:f>_xlfn.LET(_xlpm.x,LOWER(INDEX('Tableau de scores'!$J:$J,56)),IF(OR(_xlpm.x="",_xlpm.x="mesure descriptive"),"",UPPER(LEFT(_xlpm.x,1))&amp;MID(_xlpm.x,2,999)))</x:f>
        <x:v>Moyenne faible</x:v>
      </x:c>
      <x:c r="C41" s="396" t="str">
        <x:f>INDEX('Tableau de scores'!$K:$K,56)</x:f>
        <x:v>13,6e</x:v>
      </x:c>
      <x:c r="D41" s="395" t="str">
        <x:f>SUBSTITUTE(INDEX('Tableau de scores'!$C:$C,56),"— ","")</x:f>
        <x:v>Reconnaissance (Figure complexe de Rey)</x:v>
      </x:c>
    </x:row>
    <x:row r="42" ht="32">
      <x:c r="A42" s="395" t="str">
        <x:f>_xlfn.LET(_xlpm.x,INDEX('Tableau de scores'!$D:$D,57),IF(_xlpm.x="","",UPPER(LEFT(_xlpm.x,1))&amp;MID(_xlpm.x,2,999)))</x:f>
        <x:v>Efficience visuo-constructive / vitesse visuo-motrice</x:v>
      </x:c>
      <x:c r="B42" s="396" t="str">
        <x:f>_xlfn.LET(_xlpm.x,LOWER(INDEX('Tableau de scores'!$J:$J,57)),IF(OR(_xlpm.x="",_xlpm.x="mesure descriptive"),"",UPPER(LEFT(_xlpm.x,1))&amp;MID(_xlpm.x,2,999)))</x:f>
        <x:v>Limite</x:v>
      </x:c>
      <x:c r="C42" s="396" t="str">
        <x:f>INDEX('Tableau de scores'!$K:$K,57)</x:f>
        <x:v>2,0e à 5,0e</x:v>
      </x:c>
      <x:c r="D42" s="395" t="str">
        <x:f>SUBSTITUTE(INDEX('Tableau de scores'!$C:$C,57),"— ","")</x:f>
        <x:v>Temps de copie (Figure complexe de Rey)</x:v>
      </x:c>
    </x:row>
    <x:row r="43">
      <x:c r="A43" s="394" t="str">
        <x:f>"Attention soutenue et contrôle attentionnel"</x:f>
        <x:v>Attention soutenue et contrôle attentionnel</x:v>
      </x:c>
      <x:c r="B43" s="394"/>
      <x:c r="C43" s="394"/>
      <x:c r="D43" s="394"/>
    </x:row>
    <x:row r="44">
      <x:c r="A44" s="395" t="str">
        <x:f>_xlfn.LET(_xlpm.x,INDEX('Tableau de scores'!$D:$D,68),IF(_xlpm.x="","",UPPER(LEFT(_xlpm.x,1))&amp;MID(_xlpm.x,2,999)))</x:f>
        <x:v>Attention soutenue</x:v>
      </x:c>
      <x:c r="B44" s="396" t="str">
        <x:f>_xlfn.LET(_xlpm.x,LOWER(INDEX('Tableau de scores'!$J:$J,68)),IF(OR(_xlpm.x="",_xlpm.x="mesure descriptive"),"",UPPER(LEFT(_xlpm.x,1))&amp;MID(_xlpm.x,2,999)))</x:f>
        <x:v>Moyenne</x:v>
      </x:c>
      <x:c r="C44" s="396" t="str">
        <x:f>INDEX('Tableau de scores'!$K:$K,68)</x:f>
        <x:v>24,2e</x:v>
      </x:c>
      <x:c r="D44" s="395" t="str">
        <x:f>SUBSTITUTE(INDEX('Tableau de scores'!$C:$C,68),"— ","")</x:f>
        <x:v>HRT Block Change (CPT)</x:v>
      </x:c>
    </x:row>
    <x:row r="45">
      <x:c r="A45" s="395" t="str">
        <x:f>_xlfn.LET(_xlpm.x,INDEX('Tableau de scores'!$D:$D,69),IF(_xlpm.x="","",UPPER(LEFT(_xlpm.x,1))&amp;MID(_xlpm.x,2,999)))</x:f>
        <x:v>Vigilance</x:v>
      </x:c>
      <x:c r="B45" s="396" t="str">
        <x:f>_xlfn.LET(_xlpm.x,LOWER(INDEX('Tableau de scores'!$J:$J,69)),IF(OR(_xlpm.x="",_xlpm.x="mesure descriptive"),"",UPPER(LEFT(_xlpm.x,1))&amp;MID(_xlpm.x,2,999)))</x:f>
        <x:v>Moyenne</x:v>
      </x:c>
      <x:c r="C45" s="396" t="str">
        <x:f>INDEX('Tableau de scores'!$K:$K,69)</x:f>
        <x:v>57,9e</x:v>
      </x:c>
      <x:c r="D45" s="395" t="str">
        <x:f>SUBSTITUTE(INDEX('Tableau de scores'!$C:$C,69),"— ","")</x:f>
        <x:v>HRT ISI Change (CPT)</x:v>
      </x:c>
    </x:row>
    <x:row r="46">
      <x:c r="A46" s="395" t="str">
        <x:f>_xlfn.LET(_xlpm.x,INDEX('Tableau de scores'!$D:$D,61),IF(_xlpm.x="","",UPPER(LEFT(_xlpm.x,1))&amp;MID(_xlpm.x,2,999)))</x:f>
        <x:v>Discrimination cible-non-cible</x:v>
      </x:c>
      <x:c r="B46" s="396" t="str">
        <x:f>_xlfn.LET(_xlpm.x,LOWER(INDEX('Tableau de scores'!$J:$J,61)),IF(OR(_xlpm.x="",_xlpm.x="mesure descriptive"),"",UPPER(LEFT(_xlpm.x,1))&amp;MID(_xlpm.x,2,999)))</x:f>
        <x:v>Moyenne</x:v>
      </x:c>
      <x:c r="C46" s="396" t="str">
        <x:f>INDEX('Tableau de scores'!$K:$K,61)</x:f>
        <x:v>34,5e</x:v>
      </x:c>
      <x:c r="D46" s="395" t="str">
        <x:f>SUBSTITUTE(INDEX('Tableau de scores'!$C:$C,61),"— ","")</x:f>
        <x:v>Détectabilité (d') (CPT)</x:v>
      </x:c>
    </x:row>
    <x:row r="47">
      <x:c r="A47" s="395" t="str">
        <x:f>_xlfn.LET(_xlpm.x,INDEX('Tableau de scores'!$D:$D,62),IF(_xlpm.x="","",UPPER(LEFT(_xlpm.x,1))&amp;MID(_xlpm.x,2,999)))</x:f>
        <x:v>Inattention</x:v>
      </x:c>
      <x:c r="B47" s="396" t="str">
        <x:f>_xlfn.LET(_xlpm.x,LOWER(INDEX('Tableau de scores'!$J:$J,62)),IF(OR(_xlpm.x="",_xlpm.x="mesure descriptive"),"",UPPER(LEFT(_xlpm.x,1))&amp;MID(_xlpm.x,2,999)))</x:f>
        <x:v>Moyenne</x:v>
      </x:c>
      <x:c r="C47" s="396" t="str">
        <x:f>INDEX('Tableau de scores'!$K:$K,62)</x:f>
        <x:v>27,4e</x:v>
      </x:c>
      <x:c r="D47" s="395" t="str">
        <x:f>SUBSTITUTE(INDEX('Tableau de scores'!$C:$C,62),"— ","")</x:f>
        <x:v>Omissions (CPT)</x:v>
      </x:c>
    </x:row>
    <x:row r="48">
      <x:c r="A48" s="395" t="str">
        <x:f>_xlfn.LET(_xlpm.x,INDEX('Tableau de scores'!$D:$D,63),IF(_xlpm.x="","",UPPER(LEFT(_xlpm.x,1))&amp;MID(_xlpm.x,2,999)))</x:f>
        <x:v>Contrôle de réponse / impulsivité</x:v>
      </x:c>
      <x:c r="B48" s="396" t="str">
        <x:f>_xlfn.LET(_xlpm.x,LOWER(INDEX('Tableau de scores'!$J:$J,63)),IF(OR(_xlpm.x="",_xlpm.x="mesure descriptive"),"",UPPER(LEFT(_xlpm.x,1))&amp;MID(_xlpm.x,2,999)))</x:f>
        <x:v>Moyenne</x:v>
      </x:c>
      <x:c r="C48" s="396" t="str">
        <x:f>INDEX('Tableau de scores'!$K:$K,63)</x:f>
        <x:v>57,9e</x:v>
      </x:c>
      <x:c r="D48" s="395" t="str">
        <x:f>SUBSTITUTE(INDEX('Tableau de scores'!$C:$C,63),"— ","")</x:f>
        <x:v>Commissions (CPT)</x:v>
      </x:c>
    </x:row>
    <x:row r="49">
      <x:c r="A49" s="395" t="str">
        <x:f>_xlfn.LET(_xlpm.x,INDEX('Tableau de scores'!$D:$D,64),IF(_xlpm.x="","",UPPER(LEFT(_xlpm.x,1))&amp;MID(_xlpm.x,2,999)))</x:f>
        <x:v>Impulsivité / anticipation</x:v>
      </x:c>
      <x:c r="B49" s="396" t="str">
        <x:f>_xlfn.LET(_xlpm.x,LOWER(INDEX('Tableau de scores'!$J:$J,64)),IF(OR(_xlpm.x="",_xlpm.x="mesure descriptive"),"",UPPER(LEFT(_xlpm.x,1))&amp;MID(_xlpm.x,2,999)))</x:f>
        <x:v>Moyenne</x:v>
      </x:c>
      <x:c r="C49" s="396" t="str">
        <x:f>INDEX('Tableau de scores'!$K:$K,64)</x:f>
        <x:v>34,5e</x:v>
      </x:c>
      <x:c r="D49" s="395" t="str">
        <x:f>SUBSTITUTE(INDEX('Tableau de scores'!$C:$C,64),"— ","")</x:f>
        <x:v>Persévérations (CPT)</x:v>
      </x:c>
    </x:row>
    <x:row r="50">
      <x:c r="A50" s="395" t="str">
        <x:f>_xlfn.LET(_xlpm.x,INDEX('Tableau de scores'!$D:$D,65),IF(_xlpm.x="","",UPPER(LEFT(_xlpm.x,1))&amp;MID(_xlpm.x,2,999)))</x:f>
        <x:v>Vitesse de réponse</x:v>
      </x:c>
      <x:c r="B50" s="396" t="str">
        <x:f>_xlfn.LET(_xlpm.x,LOWER(INDEX('Tableau de scores'!$J:$J,65)),IF(OR(_xlpm.x="",_xlpm.x="mesure descriptive"),"",UPPER(LEFT(_xlpm.x,1))&amp;MID(_xlpm.x,2,999)))</x:f>
        <x:v>Moyenne</x:v>
      </x:c>
      <x:c r="C50" s="396" t="str">
        <x:f>INDEX('Tableau de scores'!$K:$K,65)</x:f>
        <x:v>21,2e</x:v>
      </x:c>
      <x:c r="D50" s="395" t="str">
        <x:f>SUBSTITUTE(INDEX('Tableau de scores'!$C:$C,65),"— ","")</x:f>
        <x:v>HRT (CPT)</x:v>
      </x:c>
    </x:row>
    <x:row r="51" ht="32">
      <x:c r="A51" s="395" t="str">
        <x:f>"Constance attentionnelle / dispersion temporelle"</x:f>
        <x:v>Constance attentionnelle / dispersion temporelle</x:v>
      </x:c>
      <x:c r="B51" s="396" t="str">
        <x:f>_xlfn.LET(_xlpm.x,LOWER(INDEX('Tableau de scores'!$J:$J,66)),IF(OR(_xlpm.x="",_xlpm.x="mesure descriptive"),"",UPPER(LEFT(_xlpm.x,1))&amp;MID(_xlpm.x,2,999)))</x:f>
        <x:v>Moyenne</x:v>
      </x:c>
      <x:c r="C51" s="396" t="str">
        <x:f>INDEX('Tableau de scores'!$K:$K,66)</x:f>
        <x:v>9,7e</x:v>
      </x:c>
      <x:c r="D51" s="395" t="str">
        <x:f>SUBSTITUTE(INDEX('Tableau de scores'!$C:$C,66),"— ","")</x:f>
        <x:v>HRT SD (CPT)</x:v>
      </x:c>
    </x:row>
    <x:row r="52">
      <x:c r="A52" s="395" t="str">
        <x:f>"Constance attentionnelle / variabilité"</x:f>
        <x:v>Constance attentionnelle / variabilité</x:v>
      </x:c>
      <x:c r="B52" s="396" t="str">
        <x:f>_xlfn.LET(_xlpm.x,LOWER(INDEX('Tableau de scores'!$J:$J,67)),IF(OR(_xlpm.x="",_xlpm.x="mesure descriptive"),"",UPPER(LEFT(_xlpm.x,1))&amp;MID(_xlpm.x,2,999)))</x:f>
        <x:v>Moyenne</x:v>
      </x:c>
      <x:c r="C52" s="396" t="str">
        <x:f>INDEX('Tableau de scores'!$K:$K,67)</x:f>
        <x:v>13,6e</x:v>
      </x:c>
      <x:c r="D52" s="395" t="str">
        <x:f>SUBSTITUTE(INDEX('Tableau de scores'!$C:$C,67),"— ","")</x:f>
        <x:v>Variabilité (CPT)</x:v>
      </x:c>
    </x:row>
    <x:row r="53">
      <x:c r="A53" s="394" t="str">
        <x:f>"Fonctions exécutives et planification"</x:f>
        <x:v>Fonctions exécutives et planification</x:v>
      </x:c>
      <x:c r="B53" s="394"/>
      <x:c r="C53" s="394"/>
      <x:c r="D53" s="394"/>
    </x:row>
    <x:row r="54" ht="32">
      <x:c r="A54" s="395" t="str">
        <x:f>"Inhibition de réponse / résistance à l’interférence"</x:f>
        <x:v>Inhibition de réponse / résistance à l’interférence</x:v>
      </x:c>
      <x:c r="B54" s="396" t="str">
        <x:f>_xlfn.LET(_xlpm.x,LOWER(INDEX('Tableau de scores'!$J:$J,72)),IF(OR(_xlpm.x="",_xlpm.x="mesure descriptive"),"",UPPER(LEFT(_xlpm.x,1))&amp;MID(_xlpm.x,2,999)))</x:f>
        <x:v>Très supérieur</x:v>
      </x:c>
      <x:c r="C54" s="396" t="str">
        <x:f>INDEX('Tableau de scores'!$K:$K,72)</x:f>
        <x:v>97,7e</x:v>
      </x:c>
      <x:c r="D54" s="395" t="str">
        <x:f>SUBSTITUTE(INDEX('Tableau de scores'!$C:$C,72),"— ","")</x:f>
        <x:v>Condition 3 : Inhibition (Stroop, inhibition / alternance)</x:v>
      </x:c>
    </x:row>
    <x:row r="55">
      <x:c r="A55" s="395" t="str">
        <x:f>"Inhibition + alternance / flexibilité cognitive"</x:f>
        <x:v>Inhibition + alternance / flexibilité cognitive</x:v>
      </x:c>
      <x:c r="B55" s="396" t="str">
        <x:f>_xlfn.LET(_xlpm.x,LOWER(INDEX('Tableau de scores'!$J:$J,73)),IF(OR(_xlpm.x="",_xlpm.x="mesure descriptive"),"",UPPER(LEFT(_xlpm.x,1))&amp;MID(_xlpm.x,2,999)))</x:f>
        <x:v>Moyenne élevée</x:v>
      </x:c>
      <x:c r="C55" s="396" t="str">
        <x:f>INDEX('Tableau de scores'!$K:$K,73)</x:f>
        <x:v>84,1e</x:v>
      </x:c>
      <x:c r="D55" s="395" t="str">
        <x:f>SUBSTITUTE(INDEX('Tableau de scores'!$C:$C,73),"— ","")</x:f>
        <x:v>Condition 4 : Inhibition / alternance (Stroop, inhibition / alternance)</x:v>
      </x:c>
    </x:row>
    <x:row r="56">
      <x:c r="A56" s="395" t="str">
        <x:f>"Précision / monitoring inhibition"</x:f>
        <x:v>Précision / monitoring inhibition</x:v>
      </x:c>
      <x:c r="B56" s="396" t="str">
        <x:f>_xlfn.LET(_xlpm.x,LOWER(INDEX('Tableau de scores'!$J:$J,74)),IF(OR(_xlpm.x="",_xlpm.x="mesure descriptive"),"",UPPER(LEFT(_xlpm.x,1))&amp;MID(_xlpm.x,2,999)))</x:f>
        <x:v>Moyenne</x:v>
      </x:c>
      <x:c r="C56" s="396" t="str">
        <x:f>INDEX('Tableau de scores'!$K:$K,74)</x:f>
        <x:v>74,8e</x:v>
      </x:c>
      <x:c r="D56" s="395" t="str">
        <x:f>SUBSTITUTE(INDEX('Tableau de scores'!$C:$C,74),"— ","")</x:f>
        <x:v>Erreurs condition 3 (Stroop, inhibition / alternance)</x:v>
      </x:c>
    </x:row>
    <x:row r="57">
      <x:c r="A57" s="395" t="str">
        <x:f>"Précision / monitoring alternance"</x:f>
        <x:v>Précision / monitoring alternance</x:v>
      </x:c>
      <x:c r="B57" s="396" t="str">
        <x:f>_xlfn.LET(_xlpm.x,LOWER(INDEX('Tableau de scores'!$J:$J,75)),IF(OR(_xlpm.x="",_xlpm.x="mesure descriptive"),"",UPPER(LEFT(_xlpm.x,1))&amp;MID(_xlpm.x,2,999)))</x:f>
        <x:v>Moyenne</x:v>
      </x:c>
      <x:c r="C57" s="396" t="str">
        <x:f>INDEX('Tableau de scores'!$K:$K,75)</x:f>
        <x:v>63,1e</x:v>
      </x:c>
      <x:c r="D57" s="395" t="str">
        <x:f>SUBSTITUTE(INDEX('Tableau de scores'!$C:$C,75),"— ","")</x:f>
        <x:v>Erreurs condition 4 (Stroop, inhibition / alternance)</x:v>
      </x:c>
    </x:row>
    <x:row r="58">
      <x:c r="A58" s="395" t="str">
        <x:f>_xlfn.LET(_xlpm.x,INDEX('Tableau de scores'!$D:$D,83),IF(_xlpm.x="","",UPPER(LEFT(_xlpm.x,1))&amp;MID(_xlpm.x,2,999)))</x:f>
        <x:v>Efficience de planification spatiale</x:v>
      </x:c>
      <x:c r="B58" s="396" t="str">
        <x:f>_xlfn.LET(_xlpm.x,LOWER(INDEX('Tableau de scores'!$J:$J,83)),IF(OR(_xlpm.x="",_xlpm.x="mesure descriptive"),"",UPPER(LEFT(_xlpm.x,1))&amp;MID(_xlpm.x,2,999)))</x:f>
        <x:v>Moyenne</x:v>
      </x:c>
      <x:c r="C58" s="396" t="str">
        <x:f>INDEX('Tableau de scores'!$K:$K,83)</x:f>
        <x:v>70,3e</x:v>
      </x:c>
      <x:c r="D58" s="395" t="str">
        <x:f>SUBSTITUTE(INDEX('Tableau de scores'!$C:$C,83),"— ","")</x:f>
        <x:v>Mouvements (Tour de Londres)</x:v>
      </x:c>
    </x:row>
    <x:row r="59">
      <x:c r="A59" s="395" t="str">
        <x:f>_xlfn.LET(_xlpm.x,INDEX('Tableau de scores'!$D:$D,84),IF(_xlpm.x="","",UPPER(LEFT(_xlpm.x,1))&amp;MID(_xlpm.x,2,999)))</x:f>
        <x:v>Planification / résolution de problèmes</x:v>
      </x:c>
      <x:c r="B59" s="396" t="str">
        <x:f>_xlfn.LET(_xlpm.x,LOWER(INDEX('Tableau de scores'!$J:$J,84)),IF(OR(_xlpm.x="",_xlpm.x="mesure descriptive"),"",UPPER(LEFT(_xlpm.x,1))&amp;MID(_xlpm.x,2,999)))</x:f>
        <x:v>Moyenne</x:v>
      </x:c>
      <x:c r="C59" s="396" t="str">
        <x:f>INDEX('Tableau de scores'!$K:$K,84)</x:f>
        <x:v>50,0e</x:v>
      </x:c>
      <x:c r="D59" s="395" t="str">
        <x:f>SUBSTITUTE(INDEX('Tableau de scores'!$C:$C,84),"— ","")</x:f>
        <x:v>Scores corrects (Tour de Londres)</x:v>
      </x:c>
    </x:row>
    <x:row r="60">
      <x:c r="A60" s="395" t="str">
        <x:f>_xlfn.LET(_xlpm.x,INDEX('Tableau de scores'!$D:$D,85),IF(_xlpm.x="","",UPPER(LEFT(_xlpm.x,1))&amp;MID(_xlpm.x,2,999)))</x:f>
        <x:v>Temps de préplanification</x:v>
      </x:c>
      <x:c r="B60" s="396" t="str">
        <x:f>_xlfn.LET(_xlpm.x,LOWER(INDEX('Tableau de scores'!$J:$J,85)),IF(OR(_xlpm.x="",_xlpm.x="mesure descriptive"),"",UPPER(LEFT(_xlpm.x,1))&amp;MID(_xlpm.x,2,999)))</x:f>
        <x:v>Très supérieur</x:v>
      </x:c>
      <x:c r="C60" s="396" t="str">
        <x:f>INDEX('Tableau de scores'!$K:$K,85)</x:f>
        <x:v>99,9e</x:v>
      </x:c>
      <x:c r="D60" s="395" t="str">
        <x:f>SUBSTITUTE(INDEX('Tableau de scores'!$C:$C,85),"— ","")</x:f>
        <x:v>Temps d'initiation (Tour de Londres)</x:v>
      </x:c>
    </x:row>
    <x:row r="61">
      <x:c r="A61" s="395" t="str">
        <x:f>_xlfn.LET(_xlpm.x,INDEX('Tableau de scores'!$D:$D,86),IF(_xlpm.x="","",UPPER(LEFT(_xlpm.x,1))&amp;MID(_xlpm.x,2,999)))</x:f>
        <x:v>Efficience d’exécution</x:v>
      </x:c>
      <x:c r="B61" s="396" t="str">
        <x:f>_xlfn.LET(_xlpm.x,LOWER(INDEX('Tableau de scores'!$J:$J,86)),IF(OR(_xlpm.x="",_xlpm.x="mesure descriptive"),"",UPPER(LEFT(_xlpm.x,1))&amp;MID(_xlpm.x,2,999)))</x:f>
        <x:v>Moyenne</x:v>
      </x:c>
      <x:c r="C61" s="396" t="str">
        <x:f>INDEX('Tableau de scores'!$K:$K,86)</x:f>
        <x:v>55,3e</x:v>
      </x:c>
      <x:c r="D61" s="395" t="str">
        <x:f>SUBSTITUTE(INDEX('Tableau de scores'!$C:$C,86),"— ","")</x:f>
        <x:v>Temps d'exécution (Tour de Londres)</x:v>
      </x:c>
    </x:row>
    <x:row r="62">
      <x:c r="A62" s="395" t="str">
        <x:f>"Efficience globale de planification"</x:f>
        <x:v>Efficience globale de planification</x:v>
      </x:c>
      <x:c r="B62" s="396" t="str">
        <x:f>_xlfn.LET(_xlpm.x,LOWER(INDEX('Tableau de scores'!$J:$J,87)),IF(OR(_xlpm.x="",_xlpm.x="mesure descriptive"),"",UPPER(LEFT(_xlpm.x,1))&amp;MID(_xlpm.x,2,999)))</x:f>
        <x:v>Limite</x:v>
      </x:c>
      <x:c r="C62" s="396" t="str">
        <x:f>INDEX('Tableau de scores'!$K:$K,87)</x:f>
        <x:v>5,5e</x:v>
      </x:c>
      <x:c r="D62" s="395" t="str">
        <x:f>SUBSTITUTE(INDEX('Tableau de scores'!$C:$C,87),"— ","")</x:f>
        <x:v>Temps total (Tour de Londres)</x:v>
      </x:c>
    </x:row>
    <x:row r="63" ht="32">
      <x:c r="A63" s="395" t="str">
        <x:f>_xlfn.LET(_xlpm.x,INDEX('Tableau de scores'!$D:$D,88),IF(_xlpm.x="","",UPPER(LEFT(_xlpm.x,1))&amp;MID(_xlpm.x,2,999)))</x:f>
        <x:v>Respect de la contrainte temporelle / monitoring</x:v>
      </x:c>
      <x:c r="B63" s="396" t="str">
        <x:f>_xlfn.LET(_xlpm.x,LOWER(INDEX('Tableau de scores'!$J:$J,88)),IF(OR(_xlpm.x="",_xlpm.x="mesure descriptive"),"",UPPER(LEFT(_xlpm.x,1))&amp;MID(_xlpm.x,2,999)))</x:f>
        <x:v>Limite</x:v>
      </x:c>
      <x:c r="C63" s="396" t="str">
        <x:f>INDEX('Tableau de scores'!$K:$K,88)</x:f>
        <x:v>7,1e</x:v>
      </x:c>
      <x:c r="D63" s="395" t="str">
        <x:f>SUBSTITUTE(INDEX('Tableau de scores'!$C:$C,88),"— ","")</x:f>
        <x:v>Bris du temps (Tour de Londres)</x:v>
      </x:c>
    </x:row>
    <x:row r="64">
      <x:c r="A64" s="395" t="str">
        <x:f>_xlfn.LET(_xlpm.x,INDEX('Tableau de scores'!$D:$D,89),IF(_xlpm.x="","",UPPER(LEFT(_xlpm.x,1))&amp;MID(_xlpm.x,2,999)))</x:f>
        <x:v>Respect des règles / inhibition</x:v>
      </x:c>
      <x:c r="B64" s="396" t="str">
        <x:f>_xlfn.LET(_xlpm.x,LOWER(INDEX('Tableau de scores'!$J:$J,89)),IF(OR(_xlpm.x="",_xlpm.x="mesure descriptive"),"",UPPER(LEFT(_xlpm.x,1))&amp;MID(_xlpm.x,2,999)))</x:f>
        <x:v>Moyenne</x:v>
      </x:c>
      <x:c r="C64" s="396" t="str">
        <x:f>INDEX('Tableau de scores'!$K:$K,89)</x:f>
        <x:v>60,5e</x:v>
      </x:c>
      <x:c r="D64" s="395" t="str">
        <x:f>SUBSTITUTE(INDEX('Tableau de scores'!$C:$C,89),"— ","")</x:f>
        <x:v>Bris de règle (Tour de Londres)</x:v>
      </x:c>
    </x:row>
    <x:row r="65">
      <x:c r="A65" s="394" t="str">
        <x:f>"Fluences verbales et non verbales"</x:f>
        <x:v>Fluences verbales et non verbales</x:v>
      </x:c>
      <x:c r="B65" s="394"/>
      <x:c r="C65" s="394"/>
      <x:c r="D65" s="394"/>
    </x:row>
    <x:row r="66">
      <x:c r="A66" s="395" t="str">
        <x:f>_xlfn.LET(_xlpm.x,INDEX('Tableau de scores'!$D:$D,92),IF(_xlpm.x="","",UPPER(LEFT(_xlpm.x,1))&amp;MID(_xlpm.x,2,999)))</x:f>
        <x:v>Accès phonémique</x:v>
      </x:c>
      <x:c r="B66" s="396" t="str">
        <x:f>_xlfn.LET(_xlpm.x,LOWER(INDEX('Tableau de scores'!$J:$J,92)),IF(OR(_xlpm.x="",_xlpm.x="mesure descriptive"),"",UPPER(LEFT(_xlpm.x,1))&amp;MID(_xlpm.x,2,999)))</x:f>
        <x:v>Moyenne</x:v>
      </x:c>
      <x:c r="C66" s="396" t="str">
        <x:f>INDEX('Tableau de scores'!$K:$K,92)</x:f>
        <x:v>36,9e</x:v>
      </x:c>
      <x:c r="D66" s="395" t="str">
        <x:f>SUBSTITUTE(INDEX('Tableau de scores'!$C:$C,92),"— ","")</x:f>
        <x:v>Condition 1 : Fluidité alphabétique (Fluidité verbale, D-KEFS)</x:v>
      </x:c>
    </x:row>
    <x:row r="67">
      <x:c r="A67" s="395" t="str">
        <x:f>_xlfn.LET(_xlpm.x,INDEX('Tableau de scores'!$D:$D,93),IF(_xlpm.x="","",UPPER(LEFT(_xlpm.x,1))&amp;MID(_xlpm.x,2,999)))</x:f>
        <x:v>Accès sémantique</x:v>
      </x:c>
      <x:c r="B67" s="396" t="str">
        <x:f>_xlfn.LET(_xlpm.x,LOWER(INDEX('Tableau de scores'!$J:$J,93)),IF(OR(_xlpm.x="",_xlpm.x="mesure descriptive"),"",UPPER(LEFT(_xlpm.x,1))&amp;MID(_xlpm.x,2,999)))</x:f>
        <x:v>Très supérieur</x:v>
      </x:c>
      <x:c r="C67" s="396" t="str">
        <x:f>INDEX('Tableau de scores'!$K:$K,93)</x:f>
        <x:v>97,7e</x:v>
      </x:c>
      <x:c r="D67" s="395" t="str">
        <x:f>SUBSTITUTE(INDEX('Tableau de scores'!$C:$C,93),"— ","")</x:f>
        <x:v>Condition 2 : Fluidité catégorielle (Fluidité verbale, D-KEFS)</x:v>
      </x:c>
    </x:row>
    <x:row r="68">
      <x:c r="A68" s="395" t="str">
        <x:f>_xlfn.LET(_xlpm.x,INDEX('Tableau de scores'!$D:$D,94),IF(_xlpm.x="","",UPPER(LEFT(_xlpm.x,1))&amp;MID(_xlpm.x,2,999)))</x:f>
        <x:v>Flexibilité sémantique / alternance</x:v>
      </x:c>
      <x:c r="B68" s="396" t="str">
        <x:f>_xlfn.LET(_xlpm.x,LOWER(INDEX('Tableau de scores'!$J:$J,94)),IF(OR(_xlpm.x="",_xlpm.x="mesure descriptive"),"",UPPER(LEFT(_xlpm.x,1))&amp;MID(_xlpm.x,2,999)))</x:f>
        <x:v>Moyenne</x:v>
      </x:c>
      <x:c r="C68" s="396" t="str">
        <x:f>INDEX('Tableau de scores'!$K:$K,94)</x:f>
        <x:v>63,1e</x:v>
      </x:c>
      <x:c r="D68" s="395" t="str">
        <x:f>SUBSTITUTE(INDEX('Tableau de scores'!$C:$C,94),"— ","")</x:f>
        <x:v>Condition 3 : Alternance catégorielle (Fluidité verbale, D-KEFS)</x:v>
      </x:c>
    </x:row>
    <x:row r="69">
      <x:c r="A69" s="395" t="str">
        <x:f>_xlfn.LET(_xlpm.x,INDEX('Tableau de scores'!$D:$D,97),IF(_xlpm.x="","",UPPER(LEFT(_xlpm.x,1))&amp;MID(_xlpm.x,2,999)))</x:f>
        <x:v>Flexibilité / exactitude d’alternance</x:v>
      </x:c>
      <x:c r="B69" s="396" t="str">
        <x:f>_xlfn.LET(_xlpm.x,LOWER(INDEX('Tableau de scores'!$J:$J,97)),IF(OR(_xlpm.x="",_xlpm.x="mesure descriptive"),"",UPPER(LEFT(_xlpm.x,1))&amp;MID(_xlpm.x,2,999)))</x:f>
        <x:v>Moyenne élevée</x:v>
      </x:c>
      <x:c r="C69" s="396" t="str">
        <x:f>INDEX('Tableau de scores'!$K:$K,97)</x:f>
        <x:v>74,8e</x:v>
      </x:c>
      <x:c r="D69" s="395" t="str">
        <x:f>SUBSTITUTE(INDEX('Tableau de scores'!$C:$C,97),"— ","")</x:f>
        <x:v>Total d’alternances exactes (Fluidité verbale, D-KEFS)</x:v>
      </x:c>
    </x:row>
    <x:row r="70">
      <x:c r="A70" s="395" t="str">
        <x:f>_xlfn.LET(_xlpm.x,INDEX('Tableau de scores'!$D:$D,98),IF(_xlpm.x="","",UPPER(LEFT(_xlpm.x,1))&amp;MID(_xlpm.x,2,999)))</x:f>
        <x:v>Initiation / accès lexical initial</x:v>
      </x:c>
      <x:c r="B70" s="396" t="str">
        <x:f>_xlfn.LET(_xlpm.x,LOWER(INDEX('Tableau de scores'!$J:$J,98)),IF(OR(_xlpm.x="",_xlpm.x="mesure descriptive"),"",UPPER(LEFT(_xlpm.x,1))&amp;MID(_xlpm.x,2,999)))</x:f>
        <x:v>Moyenne</x:v>
      </x:c>
      <x:c r="C70" s="396" t="str">
        <x:f>INDEX('Tableau de scores'!$K:$K,98)</x:f>
        <x:v>50,0e</x:v>
      </x:c>
      <x:c r="D70" s="395" t="str">
        <x:f>SUBSTITUTE(INDEX('Tableau de scores'!$C:$C,98),"— ","")</x:f>
        <x:v>Premier intervalle (1–15 s) : total correct combiné (Fluidité verbale, D-KEFS)</x:v>
      </x:c>
    </x:row>
    <x:row r="71">
      <x:c r="A71" s="395" t="str">
        <x:f>"Récupération lexicale soutenue — 16–30 s"</x:f>
        <x:v>Récupération lexicale soutenue — 16–30 s</x:v>
      </x:c>
      <x:c r="B71" s="396" t="str">
        <x:f>_xlfn.LET(_xlpm.x,LOWER(INDEX('Tableau de scores'!$J:$J,99)),IF(OR(_xlpm.x="",_xlpm.x="mesure descriptive"),"",UPPER(LEFT(_xlpm.x,1))&amp;MID(_xlpm.x,2,999)))</x:f>
        <x:v>Supérieur</x:v>
      </x:c>
      <x:c r="C71" s="396" t="str">
        <x:f>INDEX('Tableau de scores'!$K:$K,99)</x:f>
        <x:v>90,9e</x:v>
      </x:c>
      <x:c r="D71" s="395" t="str">
        <x:f>SUBSTITUTE(INDEX('Tableau de scores'!$C:$C,99),"— ","")</x:f>
        <x:v>Deuxième intervalle (16–30 s) : total correct combiné (Fluidité verbale, D-KEFS)</x:v>
      </x:c>
    </x:row>
    <x:row r="72">
      <x:c r="A72" s="395" t="str">
        <x:f>"Récupération lexicale soutenue — 31–45 s"</x:f>
        <x:v>Récupération lexicale soutenue — 31–45 s</x:v>
      </x:c>
      <x:c r="B72" s="396" t="str">
        <x:f>_xlfn.LET(_xlpm.x,LOWER(INDEX('Tableau de scores'!$J:$J,100)),IF(OR(_xlpm.x="",_xlpm.x="mesure descriptive"),"",UPPER(LEFT(_xlpm.x,1))&amp;MID(_xlpm.x,2,999)))</x:f>
        <x:v>Moyenne élevée</x:v>
      </x:c>
      <x:c r="C72" s="396" t="str">
        <x:f>INDEX('Tableau de scores'!$K:$K,100)</x:f>
        <x:v>74,8e</x:v>
      </x:c>
      <x:c r="D72" s="395" t="str">
        <x:f>SUBSTITUTE(INDEX('Tableau de scores'!$C:$C,100),"— ","")</x:f>
        <x:v>Troisième intervalle (31–45 s) : total correct combiné (Fluidité verbale, D-KEFS)</x:v>
      </x:c>
    </x:row>
    <x:row r="73">
      <x:c r="A73" s="395" t="str">
        <x:f>"Endurance de récupération lexicale — 46–60 s"</x:f>
        <x:v>Endurance de récupération lexicale — 46–60 s</x:v>
      </x:c>
      <x:c r="B73" s="396" t="str">
        <x:f>_xlfn.LET(_xlpm.x,LOWER(INDEX('Tableau de scores'!$J:$J,101)),IF(OR(_xlpm.x="",_xlpm.x="mesure descriptive"),"",UPPER(LEFT(_xlpm.x,1))&amp;MID(_xlpm.x,2,999)))</x:f>
        <x:v>Moyenne élevée</x:v>
      </x:c>
      <x:c r="C73" s="396" t="str">
        <x:f>INDEX('Tableau de scores'!$K:$K,101)</x:f>
        <x:v>74,8e</x:v>
      </x:c>
      <x:c r="D73" s="395" t="str">
        <x:f>SUBSTITUTE(INDEX('Tableau de scores'!$C:$C,101),"— ","")</x:f>
        <x:v>Quatrième intervalle (46–60 s) : total correct combiné (Fluidité verbale, D-KEFS)</x:v>
      </x:c>
    </x:row>
    <x:row r="74">
      <x:c r="A74" s="395" t="str">
        <x:f>"Maintien de consigne / monitoring verbal"</x:f>
        <x:v>Maintien de consigne / monitoring verbal</x:v>
      </x:c>
      <x:c r="B74" s="396" t="str">
        <x:f>_xlfn.LET(_xlpm.x,LOWER(INDEX('Tableau de scores'!$J:$J,102)),IF(OR(_xlpm.x="",_xlpm.x="mesure descriptive"),"",UPPER(LEFT(_xlpm.x,1))&amp;MID(_xlpm.x,2,999)))</x:f>
        <x:v>Moyenne</x:v>
      </x:c>
      <x:c r="C74" s="396" t="str">
        <x:f>INDEX('Tableau de scores'!$K:$K,102)</x:f>
        <x:v>50,0e</x:v>
      </x:c>
      <x:c r="D74" s="395" t="str">
        <x:f>SUBSTITUTE(INDEX('Tableau de scores'!$C:$C,102),"— ","")</x:f>
        <x:v>Total pertes de but verbales (Fluidité verbale, D-KEFS)</x:v>
      </x:c>
    </x:row>
    <x:row r="75">
      <x:c r="A75" s="395" t="str">
        <x:f>"Persévération / monitoring verbal"</x:f>
        <x:v>Persévération / monitoring verbal</x:v>
      </x:c>
      <x:c r="B75" s="396" t="str">
        <x:f>_xlfn.LET(_xlpm.x,LOWER(INDEX('Tableau de scores'!$J:$J,103)),IF(OR(_xlpm.x="",_xlpm.x="mesure descriptive"),"",UPPER(LEFT(_xlpm.x,1))&amp;MID(_xlpm.x,2,999)))</x:f>
        <x:v>Moyenne</x:v>
      </x:c>
      <x:c r="C75" s="396" t="str">
        <x:f>INDEX('Tableau de scores'!$K:$K,103)</x:f>
        <x:v>63,1e</x:v>
      </x:c>
      <x:c r="D75" s="395" t="str">
        <x:f>SUBSTITUTE(INDEX('Tableau de scores'!$C:$C,103),"— ","")</x:f>
        <x:v>Total répétitions verbales (Fluidité verbale, D-KEFS)</x:v>
      </x:c>
    </x:row>
    <x:row r="76">
      <x:c r="A76" s="395" t="str">
        <x:f>"Précision / monitoring verbal — pertes de but"</x:f>
        <x:v>Précision / monitoring verbal — pertes de but</x:v>
      </x:c>
      <x:c r="B76" s="396" t="str">
        <x:f>_xlfn.LET(_xlpm.x,LOWER(INDEX('Tableau de scores'!$J:$J,105)),IF(OR(_xlpm.x="",_xlpm.x="mesure descriptive"),"",UPPER(LEFT(_xlpm.x,1))&amp;MID(_xlpm.x,2,999)))</x:f>
        <x:v>Moyenne</x:v>
      </x:c>
      <x:c r="C76" s="396" t="str">
        <x:f>INDEX('Tableau de scores'!$K:$K,105)</x:f>
        <x:v>50,0e</x:v>
      </x:c>
      <x:c r="D76" s="395" t="str">
        <x:f>SUBSTITUTE(INDEX('Tableau de scores'!$C:$C,105),"— ","")</x:f>
        <x:v>Pourcentage d’erreurs de pertes de but (Fluidité verbale, D-KEFS)</x:v>
      </x:c>
    </x:row>
    <x:row r="77">
      <x:c r="A77" s="395" t="str">
        <x:f>"Précision / monitoring verbal — répétitions"</x:f>
        <x:v>Précision / monitoring verbal — répétitions</x:v>
      </x:c>
      <x:c r="B77" s="396" t="str">
        <x:f>_xlfn.LET(_xlpm.x,LOWER(INDEX('Tableau de scores'!$J:$J,106)),IF(OR(_xlpm.x="",_xlpm.x="mesure descriptive"),"",UPPER(LEFT(_xlpm.x,1))&amp;MID(_xlpm.x,2,999)))</x:f>
        <x:v>Moyenne</x:v>
      </x:c>
      <x:c r="C77" s="396" t="str">
        <x:f>INDEX('Tableau de scores'!$K:$K,106)</x:f>
        <x:v>74,8e</x:v>
      </x:c>
      <x:c r="D77" s="395" t="str">
        <x:f>SUBSTITUTE(INDEX('Tableau de scores'!$C:$C,106),"— ","")</x:f>
        <x:v>Pourcentage d’erreurs de répétitions (Fluidité verbale, D-KEFS)</x:v>
      </x:c>
    </x:row>
    <x:row r="78">
      <x:c r="A78" s="395" t="str">
        <x:f>_xlfn.LET(_xlpm.x,INDEX('Tableau de scores'!$D:$D,108),IF(_xlpm.x="","",UPPER(LEFT(_xlpm.x,1))&amp;MID(_xlpm.x,2,999)))</x:f>
        <x:v>Fluence visuomotrice non verbale</x:v>
      </x:c>
      <x:c r="B78" s="396" t="str">
        <x:f>_xlfn.LET(_xlpm.x,LOWER(INDEX('Tableau de scores'!$J:$J,108)),IF(OR(_xlpm.x="",_xlpm.x="mesure descriptive"),"",UPPER(LEFT(_xlpm.x,1))&amp;MID(_xlpm.x,2,999)))</x:f>
        <x:v>Moyenne</x:v>
      </x:c>
      <x:c r="C78" s="396" t="str">
        <x:f>INDEX('Tableau de scores'!$K:$K,108)</x:f>
        <x:v>25,2e</x:v>
      </x:c>
      <x:c r="D78" s="395" t="str">
        <x:f>SUBSTITUTE(INDEX('Tableau de scores'!$C:$C,108),"— ","")</x:f>
        <x:v>Fluidité graphique (D-KEFS)</x:v>
      </x:c>
    </x:row>
    <x:row r="79">
      <x:c r="A79" s="395" t="str">
        <x:f>_xlfn.LET(_xlpm.x,INDEX('Tableau de scores'!$D:$D,109),IF(_xlpm.x="","",UPPER(LEFT(_xlpm.x,1))&amp;MID(_xlpm.x,2,999)))</x:f>
        <x:v>Productivité visuo-motrice</x:v>
      </x:c>
      <x:c r="B79" s="396" t="str">
        <x:f>_xlfn.LET(_xlpm.x,LOWER(INDEX('Tableau de scores'!$J:$J,109)),IF(OR(_xlpm.x="",_xlpm.x="mesure descriptive"),"",UPPER(LEFT(_xlpm.x,1))&amp;MID(_xlpm.x,2,999)))</x:f>
        <x:v>Moyenne faible</x:v>
      </x:c>
      <x:c r="C79" s="396" t="str">
        <x:f>INDEX('Tableau de scores'!$K:$K,109)</x:f>
        <x:v>15,9e</x:v>
      </x:c>
      <x:c r="D79" s="395" t="str">
        <x:f>SUBSTITUTE(INDEX('Tableau de scores'!$C:$C,109),"— ","")</x:f>
        <x:v>Condition 1 : Filled dots (Fluidité graphique, D-KEFS)</x:v>
      </x:c>
    </x:row>
    <x:row r="80">
      <x:c r="A80" s="395" t="str">
        <x:f>_xlfn.LET(_xlpm.x,INDEX('Tableau de scores'!$D:$D,110),IF(_xlpm.x="","",UPPER(LEFT(_xlpm.x,1))&amp;MID(_xlpm.x,2,999)))</x:f>
        <x:v>Balayage visuel / inhibition</x:v>
      </x:c>
      <x:c r="B80" s="396" t="str">
        <x:f>_xlfn.LET(_xlpm.x,LOWER(INDEX('Tableau de scores'!$J:$J,110)),IF(OR(_xlpm.x="",_xlpm.x="mesure descriptive"),"",UPPER(LEFT(_xlpm.x,1))&amp;MID(_xlpm.x,2,999)))</x:f>
        <x:v>Moyenne</x:v>
      </x:c>
      <x:c r="C80" s="396" t="str">
        <x:f>INDEX('Tableau de scores'!$K:$K,110)</x:f>
        <x:v>25,2e</x:v>
      </x:c>
      <x:c r="D80" s="395" t="str">
        <x:f>SUBSTITUTE(INDEX('Tableau de scores'!$C:$C,110),"— ","")</x:f>
        <x:v>Condition 2 : Empty dots only (Fluidité graphique, D-KEFS)</x:v>
      </x:c>
    </x:row>
    <x:row r="81">
      <x:c r="A81" s="395" t="str">
        <x:f>_xlfn.LET(_xlpm.x,INDEX('Tableau de scores'!$D:$D,111),IF(_xlpm.x="","",UPPER(LEFT(_xlpm.x,1))&amp;MID(_xlpm.x,2,999)))</x:f>
        <x:v>Flexibilité visuospatiale</x:v>
      </x:c>
      <x:c r="B81" s="396" t="str">
        <x:f>_xlfn.LET(_xlpm.x,LOWER(INDEX('Tableau de scores'!$J:$J,111)),IF(OR(_xlpm.x="",_xlpm.x="mesure descriptive"),"",UPPER(LEFT(_xlpm.x,1))&amp;MID(_xlpm.x,2,999)))</x:f>
        <x:v>Moyenne</x:v>
      </x:c>
      <x:c r="C81" s="396" t="str">
        <x:f>INDEX('Tableau de scores'!$K:$K,111)</x:f>
        <x:v>25,2e</x:v>
      </x:c>
      <x:c r="D81" s="395" t="str">
        <x:f>SUBSTITUTE(INDEX('Tableau de scores'!$C:$C,111),"— ","")</x:f>
        <x:v>Condition 3 : Switching (Fluidité graphique, D-KEFS)</x:v>
      </x:c>
    </x:row>
    <x:row r="82">
      <x:c r="A82" s="395" t="str">
        <x:f>_xlfn.LET(_xlpm.x,INDEX('Tableau de scores'!$D:$D,112),IF(_xlpm.x="","",UPPER(LEFT(_xlpm.x,1))&amp;MID(_xlpm.x,2,999)))</x:f>
        <x:v>Productivité visuo-motrice globale</x:v>
      </x:c>
      <x:c r="B82" s="396" t="str">
        <x:f>_xlfn.LET(_xlpm.x,LOWER(INDEX('Tableau de scores'!$J:$J,112)),IF(OR(_xlpm.x="",_xlpm.x="mesure descriptive"),"",UPPER(LEFT(_xlpm.x,1))&amp;MID(_xlpm.x,2,999)))</x:f>
        <x:v>Moyenne</x:v>
      </x:c>
      <x:c r="C82" s="396" t="str">
        <x:f>INDEX('Tableau de scores'!$K:$K,112)</x:f>
        <x:v>25,2e</x:v>
      </x:c>
      <x:c r="D82" s="395" t="str">
        <x:f>SUBSTITUTE(INDEX('Tableau de scores'!$C:$C,112),"— ","")</x:f>
        <x:v>Points pleins + points vides combinés : total correct (Fluidité graphique, D-KEFS)</x:v>
      </x:c>
    </x:row>
    <x:row r="83">
      <x:c r="A83" s="395" t="str">
        <x:f>"Maintien de consigne / monitoring graphique"</x:f>
        <x:v>Maintien de consigne / monitoring graphique</x:v>
      </x:c>
      <x:c r="B83" s="396" t="str">
        <x:f>_xlfn.LET(_xlpm.x,LOWER(INDEX('Tableau de scores'!$J:$J,114)),IF(OR(_xlpm.x="",_xlpm.x="mesure descriptive"),"",UPPER(LEFT(_xlpm.x,1))&amp;MID(_xlpm.x,2,999)))</x:f>
        <x:v>Moyenne</x:v>
      </x:c>
      <x:c r="C83" s="396" t="str">
        <x:f>INDEX('Tableau de scores'!$K:$K,114)</x:f>
        <x:v>84,1e</x:v>
      </x:c>
      <x:c r="D83" s="395" t="str">
        <x:f>SUBSTITUTE(INDEX('Tableau de scores'!$C:$C,114),"— ","")</x:f>
        <x:v>Total pertes de but graphiques (Fluidité graphique, D-KEFS)</x:v>
      </x:c>
    </x:row>
    <x:row r="84">
      <x:c r="A84" s="395" t="str">
        <x:f>"Persévération / monitoring graphique"</x:f>
        <x:v>Persévération / monitoring graphique</x:v>
      </x:c>
      <x:c r="B84" s="396" t="str">
        <x:f>_xlfn.LET(_xlpm.x,LOWER(INDEX('Tableau de scores'!$J:$J,115)),IF(OR(_xlpm.x="",_xlpm.x="mesure descriptive"),"",UPPER(LEFT(_xlpm.x,1))&amp;MID(_xlpm.x,2,999)))</x:f>
        <x:v>Moyenne</x:v>
      </x:c>
      <x:c r="C84" s="396" t="str">
        <x:f>INDEX('Tableau de scores'!$K:$K,115)</x:f>
        <x:v>74,8e</x:v>
      </x:c>
      <x:c r="D84" s="395" t="str">
        <x:f>SUBSTITUTE(INDEX('Tableau de scores'!$C:$C,115),"— ","")</x:f>
        <x:v>Total répétitions graphiques (Fluidité graphique, D-KEFS)</x:v>
      </x:c>
    </x:row>
    <x:row r="85">
      <x:c r="A85" s="395" t="str">
        <x:f>_xlfn.LET(_xlpm.x,INDEX('Tableau de scores'!$D:$D,116),IF(_xlpm.x="","",UPPER(LEFT(_xlpm.x,1))&amp;MID(_xlpm.x,2,999)))</x:f>
        <x:v>Vitesse / productivité visuo-motrice</x:v>
      </x:c>
      <x:c r="B85" s="396" t="str">
        <x:f>_xlfn.LET(_xlpm.x,LOWER(INDEX('Tableau de scores'!$J:$J,116)),IF(OR(_xlpm.x="",_xlpm.x="mesure descriptive"),"",UPPER(LEFT(_xlpm.x,1))&amp;MID(_xlpm.x,2,999)))</x:f>
        <x:v>Moyenne faible</x:v>
      </x:c>
      <x:c r="C85" s="396" t="str">
        <x:f>INDEX('Tableau de scores'!$K:$K,116)</x:f>
        <x:v>15,9e</x:v>
      </x:c>
      <x:c r="D85" s="395" t="str">
        <x:f>SUBSTITUTE(INDEX('Tableau de scores'!$C:$C,116),"— ","")</x:f>
        <x:v>Total tentatives graphiques (Fluidité graphique, D-KEFS)</x:v>
      </x:c>
    </x:row>
    <x:row r="86">
      <x:c r="A86" s="395" t="str">
        <x:f>"Précision / monitoring graphique"</x:f>
        <x:v>Précision / monitoring graphique</x:v>
      </x:c>
      <x:c r="B86" s="396" t="str">
        <x:f>_xlfn.LET(_xlpm.x,LOWER(INDEX('Tableau de scores'!$J:$J,117)),IF(OR(_xlpm.x="",_xlpm.x="mesure descriptive"),"",UPPER(LEFT(_xlpm.x,1))&amp;MID(_xlpm.x,2,999)))</x:f>
        <x:v>Moyenne</x:v>
      </x:c>
      <x:c r="C86" s="396" t="str">
        <x:f>INDEX('Tableau de scores'!$K:$K,117)</x:f>
        <x:v>50,0e</x:v>
      </x:c>
      <x:c r="D86" s="395" t="str">
        <x:f>SUBSTITUTE(INDEX('Tableau de scores'!$C:$C,117),"— ","")</x:f>
        <x:v>Pourcentage d’exactitude graphique (Fluidité graphique, D-KEFS)</x:v>
      </x:c>
    </x:row>
    <x:row r="87" ht="28.5" customHeight="1">
      <x:c r="A87" s="438"/>
      <x:c r="B87" s="439"/>
      <x:c r="C87" s="439"/>
      <x:c r="D87" s="439"/>
    </x:row>
  </x:sheetData>
  <x:mergeCells>
    <x:mergeCell ref="A1:D1"/>
    <x:mergeCell ref="A87:D87"/>
  </x:mergeCells>
  <x:pageMargins left="0.7" right="0.7" top="0.75" bottom="0.75" header="0.3" footer="0.3"/>
</x:worksheet>
</file>